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 silvano" sheetId="1" r:id="rId5"/>
  </sheets>
  <definedNames/>
  <calcPr/>
</workbook>
</file>

<file path=xl/sharedStrings.xml><?xml version="1.0" encoding="utf-8"?>
<sst xmlns="http://schemas.openxmlformats.org/spreadsheetml/2006/main" count="971" uniqueCount="126">
  <si>
    <t>011 - MACHOS - MARCO</t>
  </si>
  <si>
    <t>DATA</t>
  </si>
  <si>
    <t>TIPO</t>
  </si>
  <si>
    <t>QUEM</t>
  </si>
  <si>
    <t>QTD</t>
  </si>
  <si>
    <t>VALOR UNIT</t>
  </si>
  <si>
    <t>VALOR TOTAL</t>
  </si>
  <si>
    <t>FRETE</t>
  </si>
  <si>
    <t>COMISSAO</t>
  </si>
  <si>
    <t>OUTROS</t>
  </si>
  <si>
    <t>TOTAL</t>
  </si>
  <si>
    <t>C</t>
  </si>
  <si>
    <t xml:space="preserve">MARCELO </t>
  </si>
  <si>
    <t>MARCIO GORDO</t>
  </si>
  <si>
    <t>CABECAS</t>
  </si>
  <si>
    <t>CUSTANDO</t>
  </si>
  <si>
    <t>MÉDIA</t>
  </si>
  <si>
    <t>GTA</t>
  </si>
  <si>
    <t>v</t>
  </si>
  <si>
    <t>FREDERICO ALCATARA</t>
  </si>
  <si>
    <t>V</t>
  </si>
  <si>
    <t>FELIPE JOSE ALBA DOS SANTOS</t>
  </si>
  <si>
    <t>SOBRA</t>
  </si>
  <si>
    <t>LUCRO</t>
  </si>
  <si>
    <t>CUSTO DA SOBRA</t>
  </si>
  <si>
    <t>LUCRO POR CABECA</t>
  </si>
  <si>
    <t>012 - MACHOS - MARCO</t>
  </si>
  <si>
    <t>SUZANA SOARES</t>
  </si>
  <si>
    <t>SIDNEI DA SILVA</t>
  </si>
  <si>
    <t>JOAO PAULO DA SILVA</t>
  </si>
  <si>
    <t>VANDERLEI</t>
  </si>
  <si>
    <t>MURILO</t>
  </si>
  <si>
    <t>sobra</t>
  </si>
  <si>
    <t>SOBRA TOTAL ATE AGORA DE 5</t>
  </si>
  <si>
    <t>Outras despesas</t>
  </si>
  <si>
    <t>SILVANO MES 04/2026</t>
  </si>
  <si>
    <t>LUCRO POS DESPESAS</t>
  </si>
  <si>
    <t>013 - MACHOS - MARCO</t>
  </si>
  <si>
    <t>S</t>
  </si>
  <si>
    <t>SANDRA APARECIDA</t>
  </si>
  <si>
    <t>WOCHYGTON CAMILO</t>
  </si>
  <si>
    <t>MAYSON</t>
  </si>
  <si>
    <t>JOAO PAULO / JOAO PAVAN</t>
  </si>
  <si>
    <t>VALDEMIR VIANA LIMA</t>
  </si>
  <si>
    <t>valor combinado</t>
  </si>
  <si>
    <t>valor da nota</t>
  </si>
  <si>
    <t>diferenca a receber</t>
  </si>
  <si>
    <t>014 - MACHOS - ABRIL</t>
  </si>
  <si>
    <t>whochington</t>
  </si>
  <si>
    <t>016- MACHOS - ABRIL</t>
  </si>
  <si>
    <t>NEGUINHO</t>
  </si>
  <si>
    <t>015 - MACHOS - ABRIL</t>
  </si>
  <si>
    <t>rel 14</t>
  </si>
  <si>
    <t>rel 15</t>
  </si>
  <si>
    <t>rel 16</t>
  </si>
  <si>
    <t>JUNINHO</t>
  </si>
  <si>
    <t>rel 17</t>
  </si>
  <si>
    <t>MARCELINHO</t>
  </si>
  <si>
    <t>IRINEU</t>
  </si>
  <si>
    <t xml:space="preserve"> </t>
  </si>
  <si>
    <t>017 - FEMAS - MAIO</t>
  </si>
  <si>
    <t>Adalto Souza Santos</t>
  </si>
  <si>
    <t>silvano</t>
  </si>
  <si>
    <t>018 - MACHOS - MAIO</t>
  </si>
  <si>
    <t>MARCELO</t>
  </si>
  <si>
    <t xml:space="preserve">JOAO VITOR </t>
  </si>
  <si>
    <t>019 - MACHOS - MAIO</t>
  </si>
  <si>
    <t>SADI</t>
  </si>
  <si>
    <t>ROBSON DONA VAL</t>
  </si>
  <si>
    <t>PEDRO BASILIO</t>
  </si>
  <si>
    <t>PAULINHO JACARE</t>
  </si>
  <si>
    <t>SOBRA ANTERIOR</t>
  </si>
  <si>
    <t>SOBRA NOVA</t>
  </si>
  <si>
    <t>020 - MACHOS - MAIO</t>
  </si>
  <si>
    <t>MARCELO CUJUBIM</t>
  </si>
  <si>
    <t>PAULIM JACARE</t>
  </si>
  <si>
    <t>PAULIM JACARE (AJUSTE)</t>
  </si>
  <si>
    <t>021 - MACHOS - MAIO</t>
  </si>
  <si>
    <t>RICARDO APARECIDO</t>
  </si>
  <si>
    <t>GERALDO</t>
  </si>
  <si>
    <t>SOGRO RICARDO JOSE VENANCIO</t>
  </si>
  <si>
    <t>JOAO PAULO</t>
  </si>
  <si>
    <t>IRINEU MICALZENZEN</t>
  </si>
  <si>
    <t>MORTE</t>
  </si>
  <si>
    <t>MGM SERVICOS</t>
  </si>
  <si>
    <t>PAGTO SILVANO JUNHO</t>
  </si>
  <si>
    <t>022 - FEMEAS - MAIO</t>
  </si>
  <si>
    <t>023- MACHOS - JUNHO</t>
  </si>
  <si>
    <t>ANTONIO MICALSEHSHEN</t>
  </si>
  <si>
    <t>IZAQUE APOLINARIO</t>
  </si>
  <si>
    <t>JONAS FIGUEREDO</t>
  </si>
  <si>
    <t>HELIO SANTOS</t>
  </si>
  <si>
    <t>ROSANA FECINI</t>
  </si>
  <si>
    <t>despesas</t>
  </si>
  <si>
    <t>SILVANO - MES JULHO</t>
  </si>
  <si>
    <t>SAL/PROTEINADO</t>
  </si>
  <si>
    <t>024- MACHOS - JULHO</t>
  </si>
  <si>
    <t>RUBENS VALERIO DOS SANTOS</t>
  </si>
  <si>
    <t>025- MACHOS - JULHO</t>
  </si>
  <si>
    <t>c</t>
  </si>
  <si>
    <t>JONAS FIGUEIREDO</t>
  </si>
  <si>
    <t>ARLINDO GONCALVES</t>
  </si>
  <si>
    <t>DILEI</t>
  </si>
  <si>
    <t>diferenca de GTA, nao descontado nos acertos anteriores</t>
  </si>
  <si>
    <t>PETECA</t>
  </si>
  <si>
    <t>SILVANO MES 08</t>
  </si>
  <si>
    <t>CANELA</t>
  </si>
  <si>
    <t>DANILO ZOI</t>
  </si>
  <si>
    <t>ADENILSON</t>
  </si>
  <si>
    <t>EMERSON</t>
  </si>
  <si>
    <t>ERIC</t>
  </si>
  <si>
    <t>026- FEMEAS- JULHO</t>
  </si>
  <si>
    <t>SILAEL</t>
  </si>
  <si>
    <t>gta de transferencia Eudoxia X Silvano</t>
  </si>
  <si>
    <t>027- MACHOS - JULHO</t>
  </si>
  <si>
    <t>DANILO MIGUEL</t>
  </si>
  <si>
    <t>ELMAR NORBERTO</t>
  </si>
  <si>
    <t>GILSON CUNHADO DO ALVARO</t>
  </si>
  <si>
    <t>WALISSON  E JAIR PINHEIRO</t>
  </si>
  <si>
    <t>DUCA</t>
  </si>
  <si>
    <t>JOSE APARECIDO DE PADUA</t>
  </si>
  <si>
    <t>NOLI</t>
  </si>
  <si>
    <t>028- FEMAS - JULHO</t>
  </si>
  <si>
    <t>M</t>
  </si>
  <si>
    <t>029- FEMAS - JULHO</t>
  </si>
  <si>
    <t>GETULIO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</si>
</sst>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R$-416]\ * #,##0.00_-;\-[$R$-416]\ * #,##0.00_-;_-[$R$-416]\ * &quot;-&quot;??_-;_-@"/>
    <numFmt numFmtId="165" formatCode="_-[$R$-416]\ * #,##0.0000_-;\-[$R$-416]\ * #,##0.0000_-;_-[$R$-416]\ * &quot;-&quot;??_-;_-@"/>
    <numFmt numFmtId="166" formatCode="_-[$R$-416]\ * #,##0.0000_-;\-[$R$-416]\ * #,##0.0000_-;_-[$R$-416]\ * &quot;-&quot;??.0000_-;_-@"/>
    <numFmt numFmtId="167" formatCode="_-[$R$-416]\ * #,##0.0000_-;\-[$R$-416]\ * #,##0.0000_-;_-[$R$-416]\ * &quot;-&quot;??.00_-;_-@"/>
  </numFmts>
  <fonts count="34">
    <font>
      <sz val="10.0"/>
      <color rgb="FF000000"/>
      <name val="Arial"/>
      <scheme val="minor"/>
    </font>
    <font>
      <b/>
      <u/>
      <sz val="16.0"/>
      <color rgb="FF000000"/>
      <name val="Aptos Narrow"/>
    </font>
    <font/>
    <font>
      <b/>
      <u/>
      <sz val="16.0"/>
      <color rgb="FF000000"/>
      <name val="Aptos Narrow"/>
    </font>
    <font>
      <sz val="11.0"/>
      <color rgb="FFFF0000"/>
      <name val="Calibri"/>
    </font>
    <font>
      <sz val="11.0"/>
      <color theme="1"/>
      <name val="Calibri"/>
    </font>
    <font>
      <b/>
      <sz val="11.0"/>
      <color rgb="FFE7E6E6"/>
      <name val="Aptos Narrow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FF0000"/>
      <name val="Aptos Narrow"/>
    </font>
    <font>
      <i/>
      <sz val="11.0"/>
      <color rgb="FF000000"/>
      <name val="Calibri"/>
    </font>
    <font>
      <i/>
      <sz val="11.0"/>
      <color rgb="FF000000"/>
      <name val="Aptos Narrow"/>
    </font>
    <font>
      <i/>
      <sz val="11.0"/>
      <color rgb="FFFF0000"/>
      <name val="Aptos Narrow"/>
    </font>
    <font>
      <i/>
      <sz val="11.0"/>
      <color rgb="FFFF0000"/>
      <name val="Calibri"/>
    </font>
    <font>
      <i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4"/>
      <name val="Calibri"/>
    </font>
    <font>
      <sz val="11.0"/>
      <color theme="4"/>
      <name val="Aptos Narrow"/>
    </font>
    <font>
      <i/>
      <sz val="11.0"/>
      <color theme="4"/>
      <name val="Aptos Narrow"/>
    </font>
    <font>
      <i/>
      <sz val="11.0"/>
      <color theme="4"/>
      <name val="Calibri"/>
    </font>
    <font>
      <i/>
      <sz val="12.0"/>
      <color rgb="FF000000"/>
      <name val="Calibri"/>
    </font>
    <font>
      <sz val="11.0"/>
      <color rgb="FF000000"/>
      <name val="Arial"/>
    </font>
    <font>
      <b/>
      <u/>
      <sz val="16.0"/>
      <color rgb="FF000000"/>
      <name val="Arial"/>
    </font>
    <font>
      <sz val="11.0"/>
      <color rgb="FF4472C4"/>
      <name val="Arial"/>
    </font>
    <font>
      <b/>
      <sz val="11.0"/>
      <color rgb="FF000000"/>
      <name val="Arial"/>
    </font>
    <font>
      <b/>
      <u/>
      <sz val="16.0"/>
      <color theme="1"/>
      <name val="Arial"/>
    </font>
    <font>
      <sz val="12.0"/>
      <color theme="1"/>
      <name val="Calibri"/>
    </font>
    <font>
      <b/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164" xfId="0" applyFont="1" applyNumberFormat="1"/>
    <xf borderId="5" fillId="3" fontId="6" numFmtId="0" xfId="0" applyBorder="1" applyFill="1" applyFont="1"/>
    <xf borderId="4" fillId="3" fontId="6" numFmtId="0" xfId="0" applyBorder="1" applyFill="1" applyFont="1"/>
    <xf borderId="4" fillId="3" fontId="6" numFmtId="1" xfId="0" applyBorder="1" applyFill="1" applyFont="1" applyNumberFormat="1"/>
    <xf borderId="4" fillId="3" fontId="6" numFmtId="164" xfId="0" applyBorder="1" applyFill="1" applyFont="1" applyNumberFormat="1"/>
    <xf borderId="6" fillId="3" fontId="6" numFmtId="164" xfId="0" applyBorder="1" applyFill="1" applyFont="1" applyNumberFormat="1"/>
    <xf borderId="7" fillId="0" fontId="7" numFmtId="16" xfId="0" applyBorder="1" applyFont="1" applyNumberFormat="1"/>
    <xf borderId="0" fillId="0" fontId="7" numFmtId="0" xfId="0" applyFont="1"/>
    <xf borderId="0" fillId="0" fontId="8" numFmtId="0" xfId="0" applyFont="1"/>
    <xf borderId="0" fillId="0" fontId="7" numFmtId="1" xfId="0" applyFont="1" applyNumberFormat="1"/>
    <xf borderId="0" fillId="0" fontId="7" numFmtId="164" xfId="0" applyFont="1" applyNumberFormat="1"/>
    <xf borderId="0" fillId="0" fontId="5" numFmtId="2" xfId="0" applyFont="1" applyNumberFormat="1"/>
    <xf borderId="8" fillId="0" fontId="7" numFmtId="164" xfId="0" applyBorder="1" applyFont="1" applyNumberFormat="1"/>
    <xf borderId="0" fillId="0" fontId="7" numFmtId="165" xfId="0" applyFont="1" applyNumberFormat="1"/>
    <xf borderId="7" fillId="0" fontId="7" numFmtId="0" xfId="0" applyBorder="1" applyFont="1"/>
    <xf borderId="9" fillId="3" fontId="6" numFmtId="0" xfId="0" applyBorder="1" applyFill="1" applyFont="1"/>
    <xf borderId="9" fillId="0" fontId="7" numFmtId="1" xfId="0" applyBorder="1" applyFont="1" applyNumberFormat="1"/>
    <xf borderId="10" fillId="3" fontId="6" numFmtId="0" xfId="0" applyAlignment="1" applyBorder="1" applyFill="1" applyFont="1">
      <alignment horizontal="right"/>
    </xf>
    <xf borderId="11" fillId="0" fontId="2" numFmtId="0" xfId="0" applyBorder="1" applyFont="1"/>
    <xf borderId="12" fillId="0" fontId="7" numFmtId="164" xfId="0" applyBorder="1" applyFont="1" applyNumberFormat="1"/>
    <xf borderId="12" fillId="0" fontId="9" numFmtId="164" xfId="0" applyBorder="1" applyFont="1" applyNumberFormat="1"/>
    <xf borderId="0" fillId="0" fontId="9" numFmtId="164" xfId="0" applyFont="1" applyNumberFormat="1"/>
    <xf borderId="0" fillId="0" fontId="9" numFmtId="0" xfId="0" applyAlignment="1" applyFont="1">
      <alignment horizontal="center"/>
    </xf>
    <xf borderId="8" fillId="0" fontId="2" numFmtId="0" xfId="0" applyBorder="1" applyFont="1"/>
    <xf borderId="5" fillId="4" fontId="9" numFmtId="0" xfId="0" applyBorder="1" applyFill="1" applyFont="1"/>
    <xf borderId="4" fillId="4" fontId="9" numFmtId="0" xfId="0" applyBorder="1" applyFill="1" applyFont="1"/>
    <xf borderId="4" fillId="4" fontId="9" numFmtId="1" xfId="0" applyBorder="1" applyFill="1" applyFont="1" applyNumberFormat="1"/>
    <xf borderId="4" fillId="4" fontId="9" numFmtId="164" xfId="0" applyBorder="1" applyFill="1" applyFont="1" applyNumberFormat="1"/>
    <xf borderId="6" fillId="4" fontId="9" numFmtId="164" xfId="0" applyBorder="1" applyFill="1" applyFont="1" applyNumberFormat="1"/>
    <xf borderId="0" fillId="0" fontId="10" numFmtId="1" xfId="0" applyFont="1" applyNumberFormat="1"/>
    <xf borderId="0" fillId="0" fontId="10" numFmtId="164" xfId="0" applyFont="1" applyNumberFormat="1"/>
    <xf borderId="0" fillId="0" fontId="11" numFmtId="164" xfId="0" applyFont="1" applyNumberFormat="1"/>
    <xf borderId="0" fillId="0" fontId="5" numFmtId="0" xfId="0" applyFont="1"/>
    <xf borderId="7" fillId="0" fontId="12" numFmtId="16" xfId="0" applyBorder="1" applyFont="1" applyNumberFormat="1"/>
    <xf borderId="0" fillId="0" fontId="12" numFmtId="0" xfId="0" applyFont="1"/>
    <xf borderId="0" fillId="0" fontId="13" numFmtId="1" xfId="0" applyFont="1" applyNumberFormat="1"/>
    <xf borderId="0" fillId="0" fontId="13" numFmtId="164" xfId="0" applyFont="1" applyNumberFormat="1"/>
    <xf borderId="0" fillId="0" fontId="12" numFmtId="164" xfId="0" applyFont="1" applyNumberFormat="1"/>
    <xf borderId="0" fillId="0" fontId="14" numFmtId="164" xfId="0" applyFont="1" applyNumberFormat="1"/>
    <xf borderId="8" fillId="0" fontId="12" numFmtId="164" xfId="0" applyBorder="1" applyFont="1" applyNumberFormat="1"/>
    <xf borderId="0" fillId="0" fontId="15" numFmtId="0" xfId="0" applyFont="1"/>
    <xf borderId="0" fillId="0" fontId="16" numFmtId="0" xfId="0" applyFont="1"/>
    <xf borderId="0" fillId="0" fontId="16" numFmtId="164" xfId="0" applyFont="1" applyNumberFormat="1"/>
    <xf borderId="0" fillId="0" fontId="17" numFmtId="0" xfId="0" applyFont="1"/>
    <xf borderId="9" fillId="4" fontId="9" numFmtId="0" xfId="0" applyBorder="1" applyFill="1" applyFont="1"/>
    <xf borderId="10" fillId="4" fontId="9" numFmtId="0" xfId="0" applyAlignment="1" applyBorder="1" applyFill="1" applyFont="1">
      <alignment horizontal="right"/>
    </xf>
    <xf borderId="4" fillId="5" fontId="18" numFmtId="164" xfId="0" applyBorder="1" applyFill="1" applyFont="1" applyNumberFormat="1"/>
    <xf borderId="4" fillId="5" fontId="18" numFmtId="0" xfId="0" applyBorder="1" applyFill="1" applyFont="1"/>
    <xf borderId="0" fillId="0" fontId="4" numFmtId="9" xfId="0" applyFont="1" applyNumberFormat="1"/>
    <xf borderId="4" fillId="6" fontId="7" numFmtId="0" xfId="0" applyBorder="1" applyFill="1" applyFont="1"/>
    <xf borderId="10" fillId="6" fontId="9" numFmtId="0" xfId="0" applyAlignment="1" applyBorder="1" applyFill="1" applyFont="1">
      <alignment horizontal="right"/>
    </xf>
    <xf borderId="10" fillId="5" fontId="9" numFmtId="0" xfId="0" applyAlignment="1" applyBorder="1" applyFill="1" applyFont="1">
      <alignment horizontal="right"/>
    </xf>
    <xf borderId="0" fillId="0" fontId="9" numFmtId="0" xfId="0" applyAlignment="1" applyFont="1">
      <alignment horizontal="right"/>
    </xf>
    <xf borderId="13" fillId="0" fontId="7" numFmtId="0" xfId="0" applyBorder="1" applyFont="1"/>
    <xf borderId="14" fillId="0" fontId="7" numFmtId="0" xfId="0" applyBorder="1" applyFont="1"/>
    <xf borderId="14" fillId="0" fontId="9" numFmtId="0" xfId="0" applyAlignment="1" applyBorder="1" applyFont="1">
      <alignment horizontal="right"/>
    </xf>
    <xf borderId="14" fillId="0" fontId="2" numFmtId="0" xfId="0" applyBorder="1" applyFont="1"/>
    <xf borderId="15" fillId="0" fontId="2" numFmtId="0" xfId="0" applyBorder="1" applyFont="1"/>
    <xf borderId="0" fillId="0" fontId="4" numFmtId="164" xfId="0" applyFont="1" applyNumberFormat="1"/>
    <xf borderId="16" fillId="7" fontId="9" numFmtId="0" xfId="0" applyAlignment="1" applyBorder="1" applyFill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6" fillId="7" fontId="19" numFmtId="164" xfId="0" applyBorder="1" applyFill="1" applyFont="1" applyNumberFormat="1"/>
    <xf borderId="16" fillId="7" fontId="19" numFmtId="164" xfId="0" applyAlignment="1" applyBorder="1" applyFill="1" applyFont="1" applyNumberFormat="1">
      <alignment horizontal="center"/>
    </xf>
    <xf borderId="4" fillId="2" fontId="19" numFmtId="164" xfId="0" applyAlignment="1" applyBorder="1" applyFill="1" applyFont="1" applyNumberFormat="1">
      <alignment horizontal="center"/>
    </xf>
    <xf borderId="4" fillId="8" fontId="5" numFmtId="164" xfId="0" applyBorder="1" applyFill="1" applyFont="1" applyNumberFormat="1"/>
    <xf borderId="4" fillId="8" fontId="5" numFmtId="0" xfId="0" applyBorder="1" applyFill="1" applyFont="1"/>
    <xf borderId="0" fillId="0" fontId="18" numFmtId="164" xfId="0" applyFont="1" applyNumberFormat="1"/>
    <xf borderId="4" fillId="9" fontId="5" numFmtId="0" xfId="0" applyBorder="1" applyFill="1" applyFont="1"/>
    <xf borderId="4" fillId="9" fontId="5" numFmtId="164" xfId="0" applyBorder="1" applyFill="1" applyFont="1" applyNumberFormat="1"/>
    <xf borderId="8" fillId="0" fontId="9" numFmtId="0" xfId="0" applyAlignment="1" applyBorder="1" applyFont="1">
      <alignment horizontal="right"/>
    </xf>
    <xf borderId="9" fillId="0" fontId="7" numFmtId="164" xfId="0" applyBorder="1" applyFont="1" applyNumberFormat="1"/>
    <xf borderId="0" fillId="0" fontId="20" numFmtId="0" xfId="0" applyFont="1"/>
    <xf borderId="0" fillId="0" fontId="21" numFmtId="1" xfId="0" applyFont="1" applyNumberFormat="1"/>
    <xf borderId="0" fillId="0" fontId="21" numFmtId="164" xfId="0" applyFont="1" applyNumberFormat="1"/>
    <xf borderId="0" fillId="0" fontId="20" numFmtId="164" xfId="0" applyFont="1" applyNumberFormat="1"/>
    <xf borderId="8" fillId="0" fontId="20" numFmtId="164" xfId="0" applyBorder="1" applyFont="1" applyNumberFormat="1"/>
    <xf borderId="0" fillId="0" fontId="22" numFmtId="1" xfId="0" applyFont="1" applyNumberFormat="1"/>
    <xf borderId="0" fillId="0" fontId="22" numFmtId="164" xfId="0" applyFont="1" applyNumberFormat="1"/>
    <xf borderId="0" fillId="0" fontId="23" numFmtId="164" xfId="0" applyFont="1" applyNumberFormat="1"/>
    <xf borderId="8" fillId="0" fontId="23" numFmtId="164" xfId="0" applyBorder="1" applyFont="1" applyNumberFormat="1"/>
    <xf borderId="0" fillId="0" fontId="5" numFmtId="1" xfId="0" applyFont="1" applyNumberFormat="1"/>
    <xf borderId="7" fillId="0" fontId="7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12" numFmtId="1" xfId="0" applyFont="1" applyNumberFormat="1"/>
    <xf borderId="0" fillId="0" fontId="25" numFmtId="1" xfId="0" applyAlignment="1" applyFont="1" applyNumberFormat="1">
      <alignment readingOrder="0"/>
    </xf>
    <xf borderId="0" fillId="0" fontId="25" numFmtId="164" xfId="0" applyAlignment="1" applyFont="1" applyNumberFormat="1">
      <alignment readingOrder="0"/>
    </xf>
    <xf borderId="1" fillId="2" fontId="26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7" numFmtId="1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7" fillId="0" fontId="7" numFmtId="16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27" numFmtId="16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25" numFmtId="166" xfId="0" applyAlignment="1" applyFont="1" applyNumberFormat="1">
      <alignment readingOrder="0"/>
    </xf>
    <xf borderId="16" fillId="7" fontId="28" numFmtId="0" xfId="0" applyAlignment="1" applyBorder="1" applyFill="1" applyFont="1">
      <alignment horizontal="center" readingOrder="0"/>
    </xf>
    <xf borderId="6" fillId="7" fontId="19" numFmtId="164" xfId="0" applyAlignment="1" applyBorder="1" applyFill="1" applyFont="1" applyNumberFormat="1">
      <alignment readingOrder="0"/>
    </xf>
    <xf borderId="1" fillId="10" fontId="29" numFmtId="0" xfId="0" applyAlignment="1" applyBorder="1" applyFill="1" applyFont="1">
      <alignment horizontal="center" vertical="bottom"/>
    </xf>
    <xf borderId="5" fillId="3" fontId="6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vertical="bottom"/>
    </xf>
    <xf borderId="4" fillId="3" fontId="6" numFmtId="1" xfId="0" applyAlignment="1" applyBorder="1" applyFill="1" applyFont="1" applyNumberFormat="1">
      <alignment vertical="bottom"/>
    </xf>
    <xf borderId="4" fillId="3" fontId="6" numFmtId="164" xfId="0" applyAlignment="1" applyBorder="1" applyFill="1" applyFont="1" applyNumberFormat="1">
      <alignment vertical="bottom"/>
    </xf>
    <xf borderId="6" fillId="3" fontId="6" numFmtId="164" xfId="0" applyAlignment="1" applyBorder="1" applyFill="1" applyFont="1" applyNumberFormat="1">
      <alignment vertical="bottom"/>
    </xf>
    <xf borderId="7" fillId="0" fontId="5" numFmtId="16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27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8" fillId="0" fontId="5" numFmtId="164" xfId="0" applyAlignment="1" applyBorder="1" applyFont="1" applyNumberFormat="1">
      <alignment horizontal="right" vertical="bottom"/>
    </xf>
    <xf borderId="7" fillId="0" fontId="5" numFmtId="16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8" fillId="0" fontId="5" numFmtId="164" xfId="0" applyAlignment="1" applyBorder="1" applyFont="1" applyNumberFormat="1">
      <alignment vertical="bottom"/>
    </xf>
    <xf borderId="7" fillId="0" fontId="5" numFmtId="0" xfId="0" applyAlignment="1" applyBorder="1" applyFont="1">
      <alignment vertical="bottom"/>
    </xf>
    <xf borderId="9" fillId="3" fontId="6" numFmtId="0" xfId="0" applyAlignment="1" applyBorder="1" applyFill="1" applyFont="1">
      <alignment vertical="bottom"/>
    </xf>
    <xf borderId="9" fillId="0" fontId="5" numFmtId="1" xfId="0" applyAlignment="1" applyBorder="1" applyFont="1" applyNumberFormat="1">
      <alignment horizontal="right" vertical="bottom"/>
    </xf>
    <xf borderId="10" fillId="3" fontId="6" numFmtId="0" xfId="0" applyAlignment="1" applyBorder="1" applyFill="1" applyFont="1">
      <alignment horizontal="right" vertical="bottom"/>
    </xf>
    <xf borderId="12" fillId="0" fontId="5" numFmtId="164" xfId="0" applyAlignment="1" applyBorder="1" applyFont="1" applyNumberFormat="1">
      <alignment horizontal="right" vertical="bottom"/>
    </xf>
    <xf borderId="12" fillId="0" fontId="31" numFmtId="164" xfId="0" applyAlignment="1" applyBorder="1" applyFont="1" applyNumberFormat="1">
      <alignment horizontal="right" vertical="bottom"/>
    </xf>
    <xf borderId="0" fillId="0" fontId="31" numFmtId="0" xfId="0" applyAlignment="1" applyFont="1">
      <alignment horizontal="center" vertical="bottom"/>
    </xf>
    <xf borderId="5" fillId="4" fontId="31" numFmtId="0" xfId="0" applyAlignment="1" applyBorder="1" applyFill="1" applyFont="1">
      <alignment vertical="bottom"/>
    </xf>
    <xf borderId="4" fillId="4" fontId="31" numFmtId="0" xfId="0" applyAlignment="1" applyBorder="1" applyFill="1" applyFont="1">
      <alignment vertical="bottom"/>
    </xf>
    <xf borderId="4" fillId="4" fontId="31" numFmtId="1" xfId="0" applyAlignment="1" applyBorder="1" applyFill="1" applyFont="1" applyNumberFormat="1">
      <alignment vertical="bottom"/>
    </xf>
    <xf borderId="4" fillId="4" fontId="31" numFmtId="164" xfId="0" applyAlignment="1" applyBorder="1" applyFill="1" applyFont="1" applyNumberFormat="1">
      <alignment vertical="bottom"/>
    </xf>
    <xf borderId="6" fillId="4" fontId="31" numFmtId="164" xfId="0" applyAlignment="1" applyBorder="1" applyFill="1" applyFont="1" applyNumberFormat="1">
      <alignment vertical="bottom"/>
    </xf>
    <xf borderId="0" fillId="0" fontId="32" numFmtId="1" xfId="0" applyAlignment="1" applyFont="1" applyNumberFormat="1">
      <alignment horizontal="right" vertical="bottom"/>
    </xf>
    <xf borderId="0" fillId="0" fontId="32" numFmtId="164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9" fillId="4" fontId="31" numFmtId="0" xfId="0" applyAlignment="1" applyBorder="1" applyFill="1" applyFont="1">
      <alignment vertical="bottom"/>
    </xf>
    <xf borderId="10" fillId="4" fontId="31" numFmtId="0" xfId="0" applyAlignment="1" applyBorder="1" applyFill="1" applyFont="1">
      <alignment horizontal="right" vertical="bottom"/>
    </xf>
    <xf borderId="4" fillId="6" fontId="5" numFmtId="0" xfId="0" applyAlignment="1" applyBorder="1" applyFill="1" applyFont="1">
      <alignment vertical="bottom"/>
    </xf>
    <xf borderId="10" fillId="6" fontId="31" numFmtId="0" xfId="0" applyAlignment="1" applyBorder="1" applyFill="1" applyFont="1">
      <alignment horizontal="right" vertical="bottom"/>
    </xf>
    <xf borderId="8" fillId="0" fontId="5" numFmtId="164" xfId="0" applyAlignment="1" applyBorder="1" applyFont="1" applyNumberFormat="1">
      <alignment horizontal="center" vertical="bottom"/>
    </xf>
    <xf borderId="10" fillId="5" fontId="31" numFmtId="0" xfId="0" applyAlignment="1" applyBorder="1" applyFill="1" applyFont="1">
      <alignment horizontal="right" vertical="bottom"/>
    </xf>
    <xf borderId="16" fillId="7" fontId="5" numFmtId="0" xfId="0" applyAlignment="1" applyBorder="1" applyFill="1" applyFont="1">
      <alignment vertical="bottom"/>
    </xf>
    <xf borderId="6" fillId="7" fontId="5" numFmtId="164" xfId="0" applyAlignment="1" applyBorder="1" applyFill="1" applyFont="1" applyNumberFormat="1">
      <alignment vertical="bottom"/>
    </xf>
    <xf borderId="16" fillId="7" fontId="5" numFmtId="164" xfId="0" applyAlignment="1" applyBorder="1" applyFill="1" applyFont="1" applyNumberFormat="1">
      <alignment vertical="bottom"/>
    </xf>
    <xf borderId="4" fillId="10" fontId="5" numFmtId="164" xfId="0" applyAlignment="1" applyBorder="1" applyFill="1" applyFont="1" applyNumberFormat="1">
      <alignment vertical="bottom"/>
    </xf>
    <xf borderId="0" fillId="0" fontId="31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4" fillId="0" fontId="31" numFmtId="0" xfId="0" applyAlignment="1" applyBorder="1" applyFont="1">
      <alignment horizontal="right" vertical="bottom"/>
    </xf>
    <xf borderId="12" fillId="0" fontId="31" numFmtId="164" xfId="0" applyAlignment="1" applyBorder="1" applyFont="1" applyNumberFormat="1">
      <alignment horizontal="center" vertical="bottom"/>
    </xf>
    <xf borderId="16" fillId="7" fontId="33" numFmtId="0" xfId="0" applyAlignment="1" applyBorder="1" applyFill="1" applyFont="1">
      <alignment horizontal="center" vertical="bottom"/>
    </xf>
    <xf borderId="6" fillId="7" fontId="18" numFmtId="164" xfId="0" applyAlignment="1" applyBorder="1" applyFill="1" applyFont="1" applyNumberFormat="1">
      <alignment horizontal="right" vertical="bottom"/>
    </xf>
    <xf borderId="0" fillId="0" fontId="32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4.38"/>
    <col customWidth="1" min="3" max="3" width="26.75"/>
    <col customWidth="1" min="4" max="4" width="4.0"/>
    <col customWidth="1" min="5" max="5" width="17.63"/>
    <col customWidth="1" min="6" max="6" width="12.5"/>
    <col customWidth="1" min="7" max="7" width="12.25"/>
    <col customWidth="1" min="8" max="8" width="11.88"/>
    <col customWidth="1" min="9" max="9" width="10.88"/>
    <col customWidth="1" min="10" max="11" width="12.5"/>
    <col customWidth="1" min="12" max="12" width="14.63"/>
    <col customWidth="1" min="13" max="13" width="11.5"/>
    <col customWidth="1" min="14" max="15" width="15.38"/>
    <col customWidth="1" min="16" max="17" width="12.5"/>
    <col customWidth="1" min="18" max="18" width="10.25"/>
    <col customWidth="1" min="19" max="19" width="12.5"/>
    <col customWidth="1" min="20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O1" s="6"/>
      <c r="Q1" s="6"/>
    </row>
    <row r="2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 t="s">
        <v>10</v>
      </c>
      <c r="K2" s="10"/>
      <c r="L2" s="5"/>
      <c r="O2" s="6"/>
      <c r="Q2" s="6"/>
    </row>
    <row r="3">
      <c r="A3" s="12">
        <v>46106.0</v>
      </c>
      <c r="B3" s="13" t="s">
        <v>11</v>
      </c>
      <c r="C3" s="14" t="s">
        <v>12</v>
      </c>
      <c r="D3" s="15">
        <v>31.0</v>
      </c>
      <c r="E3" s="16">
        <v>2900.0</v>
      </c>
      <c r="F3" s="16">
        <f t="shared" ref="F3:F5" si="1">D3*E3</f>
        <v>89900</v>
      </c>
      <c r="G3" s="17"/>
      <c r="H3" s="16"/>
      <c r="I3" s="16"/>
      <c r="J3" s="18">
        <f t="shared" ref="J3:J5" si="2">F3+G3+H3+I3</f>
        <v>89900</v>
      </c>
      <c r="K3" s="16"/>
      <c r="L3" s="5"/>
      <c r="O3" s="6"/>
      <c r="Q3" s="6"/>
    </row>
    <row r="4">
      <c r="A4" s="12">
        <v>46107.0</v>
      </c>
      <c r="B4" s="13" t="s">
        <v>11</v>
      </c>
      <c r="C4" s="14" t="s">
        <v>12</v>
      </c>
      <c r="D4" s="15">
        <v>8.0</v>
      </c>
      <c r="E4" s="16">
        <v>2900.0</v>
      </c>
      <c r="F4" s="16">
        <f t="shared" si="1"/>
        <v>23200</v>
      </c>
      <c r="G4" s="17">
        <v>675.0</v>
      </c>
      <c r="H4" s="16"/>
      <c r="I4" s="16"/>
      <c r="J4" s="18">
        <f t="shared" si="2"/>
        <v>23875</v>
      </c>
      <c r="K4" s="16"/>
      <c r="L4" s="5"/>
      <c r="O4" s="6"/>
      <c r="Q4" s="6"/>
    </row>
    <row r="5">
      <c r="A5" s="12">
        <v>46108.0</v>
      </c>
      <c r="B5" s="13" t="s">
        <v>11</v>
      </c>
      <c r="C5" s="14" t="s">
        <v>13</v>
      </c>
      <c r="D5" s="15">
        <v>30.0</v>
      </c>
      <c r="E5" s="16">
        <v>3100.0</v>
      </c>
      <c r="F5" s="16">
        <f t="shared" si="1"/>
        <v>93000</v>
      </c>
      <c r="G5" s="17">
        <v>600.0</v>
      </c>
      <c r="H5" s="16"/>
      <c r="I5" s="16"/>
      <c r="J5" s="18">
        <f t="shared" si="2"/>
        <v>93600</v>
      </c>
      <c r="K5" s="16"/>
      <c r="L5" s="5"/>
      <c r="O5" s="6"/>
      <c r="Q5" s="6"/>
    </row>
    <row r="6">
      <c r="A6" s="12"/>
      <c r="B6" s="13"/>
      <c r="C6" s="14"/>
      <c r="D6" s="15"/>
      <c r="E6" s="16"/>
      <c r="F6" s="16"/>
      <c r="G6" s="17"/>
      <c r="H6" s="16"/>
      <c r="I6" s="16"/>
      <c r="J6" s="18"/>
      <c r="K6" s="16"/>
      <c r="L6" s="5"/>
      <c r="O6" s="6"/>
      <c r="Q6" s="6"/>
    </row>
    <row r="7">
      <c r="A7" s="12"/>
      <c r="B7" s="13"/>
      <c r="C7" s="13"/>
      <c r="D7" s="15"/>
      <c r="E7" s="19"/>
      <c r="F7" s="16"/>
      <c r="G7" s="16"/>
      <c r="H7" s="16"/>
      <c r="I7" s="16"/>
      <c r="J7" s="18"/>
      <c r="K7" s="16"/>
      <c r="L7" s="5"/>
      <c r="O7" s="6"/>
      <c r="Q7" s="6"/>
    </row>
    <row r="8">
      <c r="A8" s="20"/>
      <c r="B8" s="13"/>
      <c r="C8" s="21" t="s">
        <v>14</v>
      </c>
      <c r="D8" s="22">
        <f>SUM(D3:D5)</f>
        <v>69</v>
      </c>
      <c r="E8" s="16"/>
      <c r="F8" s="16"/>
      <c r="G8" s="16"/>
      <c r="H8" s="23" t="s">
        <v>15</v>
      </c>
      <c r="I8" s="24"/>
      <c r="J8" s="25">
        <f>SUM(J3:J5)</f>
        <v>207375</v>
      </c>
      <c r="K8" s="16"/>
      <c r="L8" s="5"/>
      <c r="O8" s="6"/>
      <c r="Q8" s="6"/>
    </row>
    <row r="9">
      <c r="A9" s="20"/>
      <c r="B9" s="13"/>
      <c r="C9" s="13"/>
      <c r="D9" s="15"/>
      <c r="E9" s="16"/>
      <c r="F9" s="16"/>
      <c r="G9" s="16"/>
      <c r="H9" s="23" t="s">
        <v>16</v>
      </c>
      <c r="I9" s="24"/>
      <c r="J9" s="26">
        <f>J8/D8</f>
        <v>3005.434783</v>
      </c>
      <c r="K9" s="27"/>
      <c r="L9" s="5"/>
      <c r="O9" s="6"/>
      <c r="Q9" s="6"/>
    </row>
    <row r="10">
      <c r="A10" s="20"/>
      <c r="B10" s="13"/>
      <c r="C10" s="13"/>
      <c r="D10" s="15"/>
      <c r="E10" s="16"/>
      <c r="F10" s="16"/>
      <c r="G10" s="16"/>
      <c r="H10" s="16"/>
      <c r="I10" s="16"/>
      <c r="J10" s="18"/>
      <c r="K10" s="16"/>
      <c r="L10" s="5"/>
      <c r="O10" s="6"/>
      <c r="Q10" s="6"/>
    </row>
    <row r="11">
      <c r="A11" s="20"/>
      <c r="B11" s="13"/>
      <c r="C11" s="13"/>
      <c r="D11" s="15"/>
      <c r="E11" s="16"/>
      <c r="F11" s="16"/>
      <c r="G11" s="16"/>
      <c r="H11" s="16"/>
      <c r="I11" s="16"/>
      <c r="J11" s="18"/>
      <c r="K11" s="16"/>
      <c r="L11" s="5"/>
      <c r="O11" s="6"/>
      <c r="Q11" s="6"/>
    </row>
    <row r="12">
      <c r="A12" s="20"/>
      <c r="B12" s="13"/>
      <c r="C12" s="13"/>
      <c r="D12" s="15"/>
      <c r="E12" s="16"/>
      <c r="F12" s="16"/>
      <c r="G12" s="16"/>
      <c r="H12" s="28" t="str">
        <f>CONCATENATE("Temos ",D8," cabeças, custando: ",TEXT(J9, "R$#,##"))</f>
        <v>Temos 69 cabeças, custando: R$3.005</v>
      </c>
      <c r="J12" s="29"/>
      <c r="K12" s="28"/>
      <c r="L12" s="5"/>
      <c r="O12" s="6"/>
      <c r="Q12" s="6"/>
    </row>
    <row r="13">
      <c r="A13" s="30" t="s">
        <v>1</v>
      </c>
      <c r="B13" s="31" t="s">
        <v>2</v>
      </c>
      <c r="C13" s="31" t="s">
        <v>3</v>
      </c>
      <c r="D13" s="32" t="s">
        <v>4</v>
      </c>
      <c r="E13" s="33" t="s">
        <v>5</v>
      </c>
      <c r="F13" s="33" t="s">
        <v>6</v>
      </c>
      <c r="G13" s="33" t="s">
        <v>7</v>
      </c>
      <c r="H13" s="33" t="s">
        <v>8</v>
      </c>
      <c r="I13" s="33" t="s">
        <v>17</v>
      </c>
      <c r="J13" s="34" t="s">
        <v>10</v>
      </c>
      <c r="K13" s="33"/>
      <c r="L13" s="5"/>
      <c r="O13" s="6"/>
      <c r="Q13" s="6"/>
    </row>
    <row r="14">
      <c r="A14" s="12">
        <v>46110.0</v>
      </c>
      <c r="B14" s="13" t="s">
        <v>18</v>
      </c>
      <c r="C14" s="13" t="s">
        <v>19</v>
      </c>
      <c r="D14" s="35">
        <v>17.0</v>
      </c>
      <c r="E14" s="36">
        <v>3287.6470588235293</v>
      </c>
      <c r="F14" s="16">
        <f t="shared" ref="F14:F16" si="3">D14*E14</f>
        <v>55890</v>
      </c>
      <c r="G14" s="36"/>
      <c r="H14" s="36"/>
      <c r="I14" s="37">
        <f t="shared" ref="I14:I15" si="4">-4.85*D14</f>
        <v>-82.45</v>
      </c>
      <c r="J14" s="18">
        <f t="shared" ref="J14:J16" si="5">F14+G14+H14+I14</f>
        <v>55807.55</v>
      </c>
      <c r="K14" s="16"/>
      <c r="L14" s="5"/>
      <c r="M14" s="38"/>
      <c r="N14" s="38"/>
      <c r="O14" s="6"/>
      <c r="P14" s="38"/>
      <c r="Q14" s="6"/>
    </row>
    <row r="15">
      <c r="A15" s="12">
        <v>46110.0</v>
      </c>
      <c r="B15" s="13" t="s">
        <v>20</v>
      </c>
      <c r="C15" s="13" t="s">
        <v>21</v>
      </c>
      <c r="D15" s="35">
        <v>13.0</v>
      </c>
      <c r="E15" s="36">
        <v>3032.3076</v>
      </c>
      <c r="F15" s="16">
        <f t="shared" si="3"/>
        <v>39419.9988</v>
      </c>
      <c r="G15" s="36"/>
      <c r="H15" s="36"/>
      <c r="I15" s="37">
        <f t="shared" si="4"/>
        <v>-63.05</v>
      </c>
      <c r="J15" s="18">
        <f t="shared" si="5"/>
        <v>39356.9488</v>
      </c>
      <c r="K15" s="16"/>
      <c r="L15" s="5"/>
      <c r="M15" s="38"/>
      <c r="N15" s="38"/>
      <c r="O15" s="6"/>
      <c r="P15" s="38"/>
      <c r="Q15" s="6"/>
    </row>
    <row r="16">
      <c r="A16" s="39"/>
      <c r="B16" s="40"/>
      <c r="C16" s="40" t="s">
        <v>22</v>
      </c>
      <c r="D16" s="41">
        <v>39.0</v>
      </c>
      <c r="E16" s="42">
        <v>2877.19</v>
      </c>
      <c r="F16" s="43">
        <f t="shared" si="3"/>
        <v>112210.41</v>
      </c>
      <c r="G16" s="42"/>
      <c r="H16" s="42"/>
      <c r="I16" s="44"/>
      <c r="J16" s="45">
        <f t="shared" si="5"/>
        <v>112210.41</v>
      </c>
      <c r="K16" s="43"/>
      <c r="L16" s="46"/>
      <c r="M16" s="47"/>
      <c r="N16" s="47"/>
      <c r="O16" s="48"/>
      <c r="P16" s="47"/>
      <c r="Q16" s="48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12"/>
      <c r="B17" s="13"/>
      <c r="C17" s="13"/>
      <c r="D17" s="15"/>
      <c r="E17" s="16"/>
      <c r="F17" s="16"/>
      <c r="G17" s="16"/>
      <c r="H17" s="16"/>
      <c r="I17" s="16"/>
      <c r="J17" s="18"/>
      <c r="K17" s="16"/>
      <c r="L17" s="5"/>
      <c r="M17" s="49">
        <f>0.5*220</f>
        <v>110</v>
      </c>
      <c r="O17" s="6"/>
      <c r="Q17" s="6"/>
    </row>
    <row r="18">
      <c r="A18" s="20"/>
      <c r="B18" s="13"/>
      <c r="C18" s="50" t="s">
        <v>14</v>
      </c>
      <c r="D18" s="22">
        <f>SUM(D14:D17)</f>
        <v>69</v>
      </c>
      <c r="E18" s="16"/>
      <c r="F18" s="16"/>
      <c r="G18" s="16"/>
      <c r="H18" s="51" t="s">
        <v>10</v>
      </c>
      <c r="I18" s="24"/>
      <c r="J18" s="25">
        <f>SUM(J14:J17)</f>
        <v>207374.9088</v>
      </c>
      <c r="K18" s="16"/>
      <c r="L18" s="5"/>
      <c r="O18" s="6"/>
      <c r="Q18" s="6"/>
    </row>
    <row r="19">
      <c r="A19" s="20"/>
      <c r="B19" s="13"/>
      <c r="C19" s="13"/>
      <c r="D19" s="15"/>
      <c r="E19" s="16"/>
      <c r="F19" s="16"/>
      <c r="G19" s="16"/>
      <c r="H19" s="51" t="s">
        <v>16</v>
      </c>
      <c r="I19" s="24"/>
      <c r="J19" s="26">
        <f>J18/D18</f>
        <v>3005.433461</v>
      </c>
      <c r="K19" s="27"/>
      <c r="L19" s="5"/>
      <c r="O19" s="52"/>
      <c r="P19" s="53"/>
      <c r="Q19" s="6"/>
    </row>
    <row r="20">
      <c r="A20" s="20"/>
      <c r="B20" s="13"/>
      <c r="C20" s="13"/>
      <c r="D20" s="15"/>
      <c r="E20" s="16"/>
      <c r="F20" s="16"/>
      <c r="G20" s="16"/>
      <c r="H20" s="16"/>
      <c r="I20" s="16"/>
      <c r="J20" s="18"/>
      <c r="K20" s="16"/>
      <c r="L20" s="54"/>
      <c r="O20" s="6"/>
      <c r="Q20" s="6"/>
    </row>
    <row r="21">
      <c r="A21" s="20"/>
      <c r="B21" s="13"/>
      <c r="C21" s="13"/>
      <c r="D21" s="15"/>
      <c r="E21" s="16"/>
      <c r="F21" s="16"/>
      <c r="G21" s="16"/>
      <c r="H21" s="51" t="s">
        <v>23</v>
      </c>
      <c r="I21" s="24"/>
      <c r="J21" s="25">
        <f>J18-J8</f>
        <v>-0.0912</v>
      </c>
      <c r="K21" s="16"/>
      <c r="L21" s="5"/>
      <c r="O21" s="6"/>
      <c r="Q21" s="6"/>
    </row>
    <row r="22">
      <c r="A22" s="20"/>
      <c r="B22" s="13"/>
      <c r="C22" s="13"/>
      <c r="D22" s="15"/>
      <c r="E22" s="16"/>
      <c r="F22" s="16"/>
      <c r="G22" s="16"/>
      <c r="H22" s="16"/>
      <c r="I22" s="16"/>
      <c r="J22" s="18"/>
      <c r="K22" s="16"/>
      <c r="L22" s="5"/>
      <c r="O22" s="6"/>
      <c r="Q22" s="6"/>
    </row>
    <row r="23">
      <c r="A23" s="20"/>
      <c r="B23" s="13"/>
      <c r="C23" s="55" t="s">
        <v>22</v>
      </c>
      <c r="D23" s="15">
        <f>D8-D18</f>
        <v>0</v>
      </c>
      <c r="E23" s="16"/>
      <c r="F23" s="16"/>
      <c r="G23" s="16"/>
      <c r="H23" s="56" t="s">
        <v>24</v>
      </c>
      <c r="I23" s="24"/>
      <c r="J23" s="18" t="str">
        <f>J21/D23</f>
        <v>#DIV/0!</v>
      </c>
      <c r="K23" s="16"/>
      <c r="L23" s="5"/>
      <c r="O23" s="6"/>
      <c r="Q23" s="6"/>
    </row>
    <row r="24">
      <c r="A24" s="20"/>
      <c r="B24" s="13"/>
      <c r="C24" s="13"/>
      <c r="D24" s="15"/>
      <c r="E24" s="16"/>
      <c r="F24" s="16"/>
      <c r="G24" s="16"/>
      <c r="H24" s="57" t="s">
        <v>25</v>
      </c>
      <c r="I24" s="24"/>
      <c r="J24" s="18">
        <f>J21/D18</f>
        <v>-0.00132173913</v>
      </c>
      <c r="K24" s="16"/>
      <c r="L24" s="5"/>
      <c r="O24" s="6"/>
      <c r="Q24" s="6"/>
    </row>
    <row r="25">
      <c r="A25" s="20"/>
      <c r="B25" s="13"/>
      <c r="C25" s="58" t="str">
        <f>IFERROR("Não sobrou",CONCATENATE("Parceria Mauro -&gt; Sobrou ",D23," cabeças, custando: ",TEXT(J23, "R$#,##")))</f>
        <v>Não sobrou</v>
      </c>
      <c r="J25" s="29"/>
      <c r="K25" s="58"/>
      <c r="L25" s="5"/>
      <c r="O25" s="6"/>
      <c r="Q25" s="6"/>
    </row>
    <row r="26">
      <c r="A26" s="59"/>
      <c r="B26" s="60"/>
      <c r="C26" s="61" t="str">
        <f>IF(J21&gt;0,CONCATENATE("Total de Lucro Parceria -&gt;: ",TEXT(J21, "R$#.##0,00")),"Não houve lucro")</f>
        <v>Não houve lucro</v>
      </c>
      <c r="D26" s="62"/>
      <c r="E26" s="62"/>
      <c r="F26" s="62"/>
      <c r="G26" s="62"/>
      <c r="H26" s="62"/>
      <c r="I26" s="62"/>
      <c r="J26" s="63"/>
      <c r="K26" s="58"/>
      <c r="L26" s="5"/>
      <c r="O26" s="6"/>
      <c r="Q26" s="6"/>
    </row>
    <row r="27">
      <c r="A27" s="59"/>
      <c r="B27" s="60"/>
      <c r="C27" s="61" t="str">
        <f>IF(J21&gt;0,CONCATENATE("50% -&gt;: ",TEXT((J21/2), "R$#.##0,00")),"Não houve lucro")</f>
        <v>Não houve lucro</v>
      </c>
      <c r="D27" s="62"/>
      <c r="E27" s="62"/>
      <c r="F27" s="62"/>
      <c r="G27" s="62"/>
      <c r="H27" s="62"/>
      <c r="I27" s="62"/>
      <c r="J27" s="63"/>
      <c r="K27" s="58"/>
      <c r="L27" s="5"/>
      <c r="O27" s="6"/>
      <c r="Q27" s="6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5"/>
      <c r="O28" s="6"/>
      <c r="Q28" s="6"/>
    </row>
    <row r="29">
      <c r="A29" s="1" t="s">
        <v>26</v>
      </c>
      <c r="B29" s="2"/>
      <c r="C29" s="2"/>
      <c r="D29" s="2"/>
      <c r="E29" s="2"/>
      <c r="F29" s="2"/>
      <c r="G29" s="2"/>
      <c r="H29" s="2"/>
      <c r="I29" s="2"/>
      <c r="J29" s="3"/>
      <c r="K29" s="13"/>
      <c r="L29" s="5"/>
      <c r="O29" s="6"/>
      <c r="Q29" s="6"/>
    </row>
    <row r="30">
      <c r="A30" s="7" t="s">
        <v>1</v>
      </c>
      <c r="B30" s="8" t="s">
        <v>2</v>
      </c>
      <c r="C30" s="8" t="s">
        <v>3</v>
      </c>
      <c r="D30" s="9" t="s">
        <v>4</v>
      </c>
      <c r="E30" s="10" t="s">
        <v>5</v>
      </c>
      <c r="F30" s="10" t="s">
        <v>6</v>
      </c>
      <c r="G30" s="10" t="s">
        <v>7</v>
      </c>
      <c r="H30" s="10" t="s">
        <v>8</v>
      </c>
      <c r="I30" s="10" t="s">
        <v>9</v>
      </c>
      <c r="J30" s="11" t="s">
        <v>10</v>
      </c>
      <c r="K30" s="13"/>
      <c r="L30" s="5"/>
      <c r="O30" s="6"/>
      <c r="Q30" s="6"/>
    </row>
    <row r="31">
      <c r="A31" s="12">
        <v>46106.0</v>
      </c>
      <c r="B31" s="13" t="s">
        <v>11</v>
      </c>
      <c r="C31" s="14" t="s">
        <v>22</v>
      </c>
      <c r="D31" s="35">
        <v>39.0</v>
      </c>
      <c r="E31" s="36">
        <v>2877.19</v>
      </c>
      <c r="F31" s="16">
        <f t="shared" ref="F31:F37" si="6">D31*E31</f>
        <v>112210.41</v>
      </c>
      <c r="G31" s="17"/>
      <c r="H31" s="16"/>
      <c r="I31" s="16"/>
      <c r="J31" s="18">
        <f t="shared" ref="J31:J38" si="7">F31+G31+H31+I31</f>
        <v>112210.41</v>
      </c>
      <c r="K31" s="13"/>
      <c r="L31" s="5"/>
      <c r="O31" s="6"/>
      <c r="Q31" s="6"/>
    </row>
    <row r="32">
      <c r="A32" s="12">
        <v>46112.0</v>
      </c>
      <c r="B32" s="13" t="s">
        <v>11</v>
      </c>
      <c r="C32" s="14" t="s">
        <v>12</v>
      </c>
      <c r="D32" s="15">
        <v>49.0</v>
      </c>
      <c r="E32" s="16">
        <v>2970.0</v>
      </c>
      <c r="F32" s="16">
        <f t="shared" si="6"/>
        <v>145530</v>
      </c>
      <c r="G32" s="17">
        <f t="shared" ref="G32:G34" si="8">(3740/64)*D32</f>
        <v>2863.4375</v>
      </c>
      <c r="H32" s="16">
        <f t="shared" ref="H32:H35" si="9">15*D32</f>
        <v>735</v>
      </c>
      <c r="I32" s="16"/>
      <c r="J32" s="18">
        <f t="shared" si="7"/>
        <v>149128.4375</v>
      </c>
      <c r="K32" s="13"/>
      <c r="L32" s="5"/>
      <c r="O32" s="6"/>
      <c r="Q32" s="6"/>
    </row>
    <row r="33">
      <c r="A33" s="12">
        <v>46112.0</v>
      </c>
      <c r="B33" s="13" t="s">
        <v>11</v>
      </c>
      <c r="C33" s="14" t="s">
        <v>12</v>
      </c>
      <c r="D33" s="15">
        <v>1.0</v>
      </c>
      <c r="E33" s="16">
        <v>3100.0</v>
      </c>
      <c r="F33" s="16">
        <f t="shared" si="6"/>
        <v>3100</v>
      </c>
      <c r="G33" s="17">
        <f t="shared" si="8"/>
        <v>58.4375</v>
      </c>
      <c r="H33" s="16">
        <f t="shared" si="9"/>
        <v>15</v>
      </c>
      <c r="I33" s="16"/>
      <c r="J33" s="18">
        <f t="shared" si="7"/>
        <v>3173.4375</v>
      </c>
      <c r="K33" s="13"/>
      <c r="L33" s="5"/>
      <c r="O33" s="6"/>
      <c r="Q33" s="6"/>
    </row>
    <row r="34">
      <c r="A34" s="12">
        <v>46112.0</v>
      </c>
      <c r="B34" s="13" t="s">
        <v>11</v>
      </c>
      <c r="C34" s="14" t="s">
        <v>27</v>
      </c>
      <c r="D34" s="15">
        <v>14.0</v>
      </c>
      <c r="E34" s="16">
        <v>2970.0</v>
      </c>
      <c r="F34" s="16">
        <f t="shared" si="6"/>
        <v>41580</v>
      </c>
      <c r="G34" s="17">
        <f t="shared" si="8"/>
        <v>818.125</v>
      </c>
      <c r="H34" s="16">
        <f t="shared" si="9"/>
        <v>210</v>
      </c>
      <c r="I34" s="16"/>
      <c r="J34" s="18">
        <f t="shared" si="7"/>
        <v>42608.125</v>
      </c>
      <c r="K34" s="13"/>
      <c r="L34" s="5"/>
      <c r="O34" s="6"/>
      <c r="Q34" s="6"/>
    </row>
    <row r="35">
      <c r="A35" s="12">
        <v>46113.0</v>
      </c>
      <c r="B35" s="13" t="s">
        <v>11</v>
      </c>
      <c r="C35" s="14" t="s">
        <v>28</v>
      </c>
      <c r="D35" s="15">
        <v>17.0</v>
      </c>
      <c r="E35" s="16">
        <f>56348/D35</f>
        <v>3314.588235</v>
      </c>
      <c r="F35" s="16">
        <f t="shared" si="6"/>
        <v>56348</v>
      </c>
      <c r="G35" s="17">
        <v>1375.0</v>
      </c>
      <c r="H35" s="16">
        <f t="shared" si="9"/>
        <v>255</v>
      </c>
      <c r="I35" s="16"/>
      <c r="J35" s="18">
        <f t="shared" si="7"/>
        <v>57978</v>
      </c>
      <c r="K35" s="13"/>
      <c r="L35" s="5"/>
      <c r="O35" s="6"/>
      <c r="Q35" s="6"/>
    </row>
    <row r="36">
      <c r="A36" s="12">
        <v>46114.0</v>
      </c>
      <c r="B36" s="13" t="s">
        <v>11</v>
      </c>
      <c r="C36" s="14" t="s">
        <v>29</v>
      </c>
      <c r="D36" s="15">
        <v>35.0</v>
      </c>
      <c r="E36" s="16">
        <f>107800/35</f>
        <v>3080</v>
      </c>
      <c r="F36" s="16">
        <f t="shared" si="6"/>
        <v>107800</v>
      </c>
      <c r="G36" s="17"/>
      <c r="H36" s="16"/>
      <c r="I36" s="16"/>
      <c r="J36" s="18">
        <f t="shared" si="7"/>
        <v>107800</v>
      </c>
      <c r="K36" s="13"/>
      <c r="L36" s="5"/>
      <c r="O36" s="6"/>
      <c r="Q36" s="6"/>
    </row>
    <row r="37">
      <c r="A37" s="12">
        <v>46119.0</v>
      </c>
      <c r="B37" s="13" t="s">
        <v>11</v>
      </c>
      <c r="C37" s="14" t="s">
        <v>29</v>
      </c>
      <c r="D37" s="15">
        <v>14.0</v>
      </c>
      <c r="E37" s="16">
        <v>3200.0</v>
      </c>
      <c r="F37" s="16">
        <f t="shared" si="6"/>
        <v>44800</v>
      </c>
      <c r="G37" s="17"/>
      <c r="H37" s="16"/>
      <c r="I37" s="16"/>
      <c r="J37" s="18">
        <f t="shared" si="7"/>
        <v>44800</v>
      </c>
      <c r="K37" s="13"/>
      <c r="L37" s="5"/>
      <c r="O37" s="6"/>
      <c r="Q37" s="6"/>
    </row>
    <row r="38">
      <c r="A38" s="12"/>
      <c r="B38" s="13"/>
      <c r="C38" s="14"/>
      <c r="D38" s="15"/>
      <c r="E38" s="16"/>
      <c r="F38" s="16"/>
      <c r="G38" s="17"/>
      <c r="H38" s="16"/>
      <c r="I38" s="16"/>
      <c r="J38" s="18">
        <f t="shared" si="7"/>
        <v>0</v>
      </c>
      <c r="K38" s="13"/>
      <c r="L38" s="5"/>
      <c r="O38" s="6"/>
      <c r="Q38" s="6"/>
    </row>
    <row r="39">
      <c r="A39" s="12"/>
      <c r="B39" s="13"/>
      <c r="C39" s="13"/>
      <c r="D39" s="15"/>
      <c r="E39" s="19"/>
      <c r="F39" s="16"/>
      <c r="G39" s="16"/>
      <c r="H39" s="16"/>
      <c r="I39" s="16"/>
      <c r="J39" s="18"/>
      <c r="K39" s="13"/>
      <c r="L39" s="5"/>
      <c r="O39" s="6"/>
      <c r="Q39" s="6"/>
    </row>
    <row r="40">
      <c r="A40" s="20"/>
      <c r="B40" s="13"/>
      <c r="C40" s="21" t="s">
        <v>14</v>
      </c>
      <c r="D40" s="22">
        <f>SUM(D31:D37)</f>
        <v>169</v>
      </c>
      <c r="E40" s="16"/>
      <c r="F40" s="16"/>
      <c r="G40" s="16"/>
      <c r="H40" s="23" t="s">
        <v>15</v>
      </c>
      <c r="I40" s="24"/>
      <c r="J40" s="25">
        <f>SUM(J31:J37)</f>
        <v>517698.41</v>
      </c>
      <c r="K40" s="13">
        <v>25200.0</v>
      </c>
      <c r="L40" s="5"/>
      <c r="O40" s="6"/>
      <c r="Q40" s="6"/>
    </row>
    <row r="41">
      <c r="A41" s="20"/>
      <c r="B41" s="13"/>
      <c r="C41" s="13"/>
      <c r="D41" s="15"/>
      <c r="E41" s="16"/>
      <c r="F41" s="16"/>
      <c r="G41" s="16"/>
      <c r="H41" s="23" t="s">
        <v>16</v>
      </c>
      <c r="I41" s="24"/>
      <c r="J41" s="26">
        <f>J40/D40</f>
        <v>3063.304201</v>
      </c>
      <c r="K41" s="13">
        <v>2000.0</v>
      </c>
      <c r="L41" s="5"/>
      <c r="O41" s="6"/>
      <c r="Q41" s="6"/>
    </row>
    <row r="42">
      <c r="A42" s="20"/>
      <c r="B42" s="13"/>
      <c r="C42" s="13"/>
      <c r="D42" s="15"/>
      <c r="E42" s="16"/>
      <c r="F42" s="16"/>
      <c r="G42" s="16"/>
      <c r="H42" s="16"/>
      <c r="I42" s="16"/>
      <c r="J42" s="18"/>
      <c r="K42" s="13"/>
      <c r="L42" s="5"/>
      <c r="O42" s="6"/>
      <c r="Q42" s="6"/>
    </row>
    <row r="43">
      <c r="A43" s="20"/>
      <c r="B43" s="13"/>
      <c r="C43" s="13"/>
      <c r="D43" s="15"/>
      <c r="E43" s="16"/>
      <c r="F43" s="16"/>
      <c r="G43" s="16"/>
      <c r="H43" s="16"/>
      <c r="I43" s="16"/>
      <c r="J43" s="18"/>
      <c r="K43" s="13"/>
      <c r="L43" s="5"/>
      <c r="O43" s="6"/>
      <c r="Q43" s="6"/>
    </row>
    <row r="44">
      <c r="A44" s="20"/>
      <c r="B44" s="13"/>
      <c r="C44" s="13"/>
      <c r="D44" s="15"/>
      <c r="E44" s="16"/>
      <c r="F44" s="16"/>
      <c r="G44" s="16"/>
      <c r="H44" s="28" t="str">
        <f>CONCATENATE("Temos ",D40," cabeças, custando: ",TEXT(J41, "R$#,##"))</f>
        <v>Temos 169 cabeças, custando: R$3.063</v>
      </c>
      <c r="J44" s="29"/>
      <c r="K44" s="13"/>
      <c r="L44" s="5"/>
      <c r="O44" s="6"/>
      <c r="Q44" s="6"/>
    </row>
    <row r="45">
      <c r="A45" s="30" t="s">
        <v>1</v>
      </c>
      <c r="B45" s="31" t="s">
        <v>2</v>
      </c>
      <c r="C45" s="31" t="s">
        <v>3</v>
      </c>
      <c r="D45" s="32" t="s">
        <v>4</v>
      </c>
      <c r="E45" s="33" t="s">
        <v>5</v>
      </c>
      <c r="F45" s="33" t="s">
        <v>6</v>
      </c>
      <c r="G45" s="33" t="s">
        <v>7</v>
      </c>
      <c r="H45" s="33" t="s">
        <v>8</v>
      </c>
      <c r="I45" s="33" t="s">
        <v>17</v>
      </c>
      <c r="J45" s="34" t="s">
        <v>10</v>
      </c>
      <c r="K45" s="13"/>
      <c r="L45" s="5"/>
      <c r="O45" s="6"/>
      <c r="Q45" s="6"/>
    </row>
    <row r="46">
      <c r="A46" s="12">
        <v>46119.0</v>
      </c>
      <c r="B46" s="13" t="s">
        <v>18</v>
      </c>
      <c r="C46" s="13" t="s">
        <v>30</v>
      </c>
      <c r="D46" s="35">
        <v>95.0</v>
      </c>
      <c r="E46" s="36">
        <v>2980.0</v>
      </c>
      <c r="F46" s="16">
        <f t="shared" ref="F46:F49" si="10">D46*E46</f>
        <v>283100</v>
      </c>
      <c r="G46" s="36"/>
      <c r="H46" s="36"/>
      <c r="I46" s="37">
        <f t="shared" ref="I46:I47" si="11">-4.85*D46</f>
        <v>-460.75</v>
      </c>
      <c r="J46" s="18">
        <f t="shared" ref="J46:J49" si="12">F46+G46+H46+I46</f>
        <v>282639.25</v>
      </c>
      <c r="K46" s="16">
        <f>475.3+I46</f>
        <v>14.55</v>
      </c>
      <c r="L46" s="64">
        <f>K46/4.85</f>
        <v>3</v>
      </c>
      <c r="O46" s="6"/>
      <c r="Q46" s="6"/>
    </row>
    <row r="47">
      <c r="A47" s="12">
        <v>46119.0</v>
      </c>
      <c r="B47" s="13" t="s">
        <v>18</v>
      </c>
      <c r="C47" s="13" t="s">
        <v>31</v>
      </c>
      <c r="D47" s="35">
        <v>70.0</v>
      </c>
      <c r="E47" s="36">
        <v>3407.6</v>
      </c>
      <c r="F47" s="16">
        <f t="shared" si="10"/>
        <v>238532</v>
      </c>
      <c r="G47" s="36"/>
      <c r="H47" s="36"/>
      <c r="I47" s="37">
        <f t="shared" si="11"/>
        <v>-339.5</v>
      </c>
      <c r="J47" s="18">
        <f t="shared" si="12"/>
        <v>238192.5</v>
      </c>
      <c r="K47" s="13"/>
      <c r="L47" s="5"/>
      <c r="O47" s="6"/>
      <c r="Q47" s="6"/>
    </row>
    <row r="48">
      <c r="A48" s="39"/>
      <c r="B48" s="40"/>
      <c r="C48" s="40" t="s">
        <v>32</v>
      </c>
      <c r="D48" s="41">
        <v>1.0</v>
      </c>
      <c r="E48" s="42">
        <v>3100.0</v>
      </c>
      <c r="F48" s="43">
        <f t="shared" si="10"/>
        <v>3100</v>
      </c>
      <c r="G48" s="42"/>
      <c r="H48" s="42"/>
      <c r="I48" s="44"/>
      <c r="J48" s="45">
        <f t="shared" si="12"/>
        <v>3100</v>
      </c>
      <c r="K48" s="13"/>
      <c r="L48" s="5"/>
      <c r="O48" s="6"/>
      <c r="Q48" s="6"/>
    </row>
    <row r="49">
      <c r="A49" s="39"/>
      <c r="B49" s="40"/>
      <c r="C49" s="40" t="s">
        <v>22</v>
      </c>
      <c r="D49" s="41">
        <v>3.0</v>
      </c>
      <c r="E49" s="42">
        <v>2980.0</v>
      </c>
      <c r="F49" s="16">
        <f t="shared" si="10"/>
        <v>8940</v>
      </c>
      <c r="G49" s="42"/>
      <c r="H49" s="42"/>
      <c r="I49" s="44"/>
      <c r="J49" s="45">
        <f t="shared" si="12"/>
        <v>8940</v>
      </c>
      <c r="K49" s="13"/>
      <c r="L49" s="5"/>
      <c r="O49" s="6"/>
      <c r="Q49" s="6"/>
    </row>
    <row r="50">
      <c r="A50" s="12"/>
      <c r="B50" s="13"/>
      <c r="C50" s="13"/>
      <c r="D50" s="15"/>
      <c r="E50" s="16"/>
      <c r="F50" s="16"/>
      <c r="G50" s="16"/>
      <c r="H50" s="16"/>
      <c r="I50" s="16"/>
      <c r="J50" s="18"/>
      <c r="K50" s="13"/>
      <c r="L50" s="5"/>
      <c r="O50" s="6"/>
      <c r="Q50" s="6"/>
    </row>
    <row r="51">
      <c r="A51" s="20"/>
      <c r="B51" s="13"/>
      <c r="C51" s="50" t="s">
        <v>14</v>
      </c>
      <c r="D51" s="22">
        <f>SUM(D46:D50)</f>
        <v>169</v>
      </c>
      <c r="E51" s="16"/>
      <c r="F51" s="16"/>
      <c r="G51" s="16"/>
      <c r="H51" s="51" t="s">
        <v>10</v>
      </c>
      <c r="I51" s="24"/>
      <c r="J51" s="25">
        <f>SUM(J46:J50)</f>
        <v>532871.75</v>
      </c>
      <c r="K51" s="13"/>
      <c r="L51" s="5"/>
      <c r="O51" s="6"/>
      <c r="Q51" s="6"/>
    </row>
    <row r="52">
      <c r="A52" s="20"/>
      <c r="B52" s="13"/>
      <c r="C52" s="13"/>
      <c r="D52" s="15"/>
      <c r="E52" s="16"/>
      <c r="F52" s="16"/>
      <c r="G52" s="16"/>
      <c r="H52" s="51" t="s">
        <v>16</v>
      </c>
      <c r="I52" s="24"/>
      <c r="J52" s="26">
        <f>J51/D51</f>
        <v>3153.087278</v>
      </c>
      <c r="K52" s="13"/>
      <c r="L52" s="5" t="s">
        <v>33</v>
      </c>
      <c r="O52" s="6"/>
      <c r="Q52" s="6"/>
    </row>
    <row r="53">
      <c r="A53" s="20"/>
      <c r="B53" s="13"/>
      <c r="C53" s="13"/>
      <c r="D53" s="15"/>
      <c r="E53" s="16"/>
      <c r="F53" s="16"/>
      <c r="G53" s="16"/>
      <c r="H53" s="16"/>
      <c r="I53" s="16"/>
      <c r="J53" s="18"/>
      <c r="K53" s="13"/>
      <c r="L53" s="5"/>
      <c r="O53" s="6"/>
      <c r="Q53" s="6"/>
    </row>
    <row r="54">
      <c r="A54" s="20"/>
      <c r="B54" s="13"/>
      <c r="C54" s="13"/>
      <c r="D54" s="15"/>
      <c r="E54" s="16"/>
      <c r="F54" s="16"/>
      <c r="G54" s="16"/>
      <c r="H54" s="51" t="s">
        <v>23</v>
      </c>
      <c r="I54" s="24"/>
      <c r="J54" s="25">
        <f>J51-J40</f>
        <v>15173.34</v>
      </c>
      <c r="K54" s="13"/>
      <c r="L54" s="5"/>
      <c r="O54" s="6"/>
      <c r="Q54" s="6"/>
    </row>
    <row r="55">
      <c r="A55" s="20"/>
      <c r="B55" s="13"/>
      <c r="C55" s="13"/>
      <c r="D55" s="15"/>
      <c r="E55" s="16"/>
      <c r="F55" s="16"/>
      <c r="G55" s="16"/>
      <c r="H55" s="16"/>
      <c r="I55" s="16"/>
      <c r="J55" s="18"/>
      <c r="K55" s="13"/>
      <c r="L55" s="5"/>
      <c r="O55" s="6"/>
      <c r="Q55" s="6"/>
    </row>
    <row r="56">
      <c r="A56" s="20"/>
      <c r="B56" s="13"/>
      <c r="C56" s="55" t="s">
        <v>22</v>
      </c>
      <c r="D56" s="15">
        <f>D40-D51</f>
        <v>0</v>
      </c>
      <c r="E56" s="16"/>
      <c r="F56" s="16"/>
      <c r="G56" s="16"/>
      <c r="H56" s="56" t="s">
        <v>24</v>
      </c>
      <c r="I56" s="24"/>
      <c r="J56" s="18" t="str">
        <f>J54/D56</f>
        <v>#DIV/0!</v>
      </c>
      <c r="K56" s="13"/>
      <c r="L56" s="5"/>
      <c r="O56" s="6"/>
      <c r="Q56" s="6"/>
    </row>
    <row r="57">
      <c r="A57" s="20"/>
      <c r="B57" s="13"/>
      <c r="C57" s="13"/>
      <c r="D57" s="15"/>
      <c r="E57" s="16"/>
      <c r="F57" s="16"/>
      <c r="G57" s="16"/>
      <c r="H57" s="57" t="s">
        <v>25</v>
      </c>
      <c r="I57" s="24"/>
      <c r="J57" s="18">
        <f>J54/D51</f>
        <v>89.78307692</v>
      </c>
      <c r="K57" s="13"/>
      <c r="L57" s="5"/>
      <c r="O57" s="6"/>
      <c r="Q57" s="6"/>
    </row>
    <row r="58">
      <c r="A58" s="20"/>
      <c r="B58" s="13"/>
      <c r="C58" s="13"/>
      <c r="D58" s="15"/>
      <c r="E58" s="16"/>
      <c r="F58" s="16"/>
      <c r="G58" s="16"/>
      <c r="H58" s="58"/>
      <c r="I58" s="58"/>
      <c r="J58" s="18"/>
      <c r="K58" s="13"/>
      <c r="L58" s="5"/>
      <c r="M58" s="38"/>
      <c r="N58" s="38"/>
      <c r="O58" s="6"/>
      <c r="P58" s="38"/>
      <c r="Q58" s="6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20"/>
      <c r="B59" s="13"/>
      <c r="C59" s="13" t="s">
        <v>34</v>
      </c>
      <c r="D59" s="15"/>
      <c r="E59" s="16"/>
      <c r="F59" s="65" t="s">
        <v>35</v>
      </c>
      <c r="G59" s="66"/>
      <c r="H59" s="66"/>
      <c r="I59" s="67"/>
      <c r="J59" s="68">
        <v>-2000.0</v>
      </c>
      <c r="K59" s="16"/>
      <c r="L59" s="5"/>
      <c r="O59" s="6"/>
      <c r="Q59" s="6"/>
    </row>
    <row r="60">
      <c r="A60" s="20"/>
      <c r="B60" s="13"/>
      <c r="C60" s="13"/>
      <c r="D60" s="15"/>
      <c r="E60" s="16"/>
      <c r="F60" s="69"/>
      <c r="G60" s="66"/>
      <c r="H60" s="66"/>
      <c r="I60" s="67"/>
      <c r="J60" s="68"/>
      <c r="K60" s="16"/>
      <c r="L60" s="5"/>
      <c r="O60" s="6"/>
      <c r="Q60" s="6"/>
    </row>
    <row r="61">
      <c r="A61" s="20"/>
      <c r="B61" s="13"/>
      <c r="C61" s="13"/>
      <c r="D61" s="15"/>
      <c r="E61" s="16"/>
      <c r="F61" s="70"/>
      <c r="G61" s="70"/>
      <c r="H61" s="51" t="s">
        <v>36</v>
      </c>
      <c r="I61" s="24"/>
      <c r="J61" s="25">
        <f>J54+J59+J60</f>
        <v>13173.34</v>
      </c>
      <c r="K61" s="16"/>
      <c r="L61" s="64">
        <f>J61/2</f>
        <v>6586.67</v>
      </c>
      <c r="O61" s="6"/>
      <c r="Q61" s="6"/>
    </row>
    <row r="62">
      <c r="A62" s="20"/>
      <c r="B62" s="13"/>
      <c r="C62" s="58" t="str">
        <f>IFERROR("Não sobrou",CONCATENATE("Parceria Mauro -&gt; Sobrou ",#REF!," cabeças, custando: ",TEXT(#REF!, "R$#,##")))</f>
        <v>Não sobrou</v>
      </c>
      <c r="J62" s="29"/>
      <c r="K62" s="58"/>
      <c r="L62" s="5">
        <v>2980.0</v>
      </c>
      <c r="O62" s="6"/>
      <c r="Q62" s="6"/>
    </row>
    <row r="63">
      <c r="A63" s="59"/>
      <c r="B63" s="60"/>
      <c r="C63" s="61" t="str">
        <f>IF(J61&gt;0,CONCATENATE("Total de Lucro Parceria -&gt;: ",TEXT(J61, "R$#.##0,00")),"Não houve lucro")</f>
        <v>Total de Lucro Parceria -&gt;: R$13.173,34000</v>
      </c>
      <c r="D63" s="62"/>
      <c r="E63" s="62"/>
      <c r="F63" s="62"/>
      <c r="G63" s="62"/>
      <c r="H63" s="62"/>
      <c r="I63" s="62"/>
      <c r="J63" s="63"/>
      <c r="K63" s="58"/>
      <c r="L63" s="5"/>
      <c r="O63" s="6"/>
      <c r="Q63" s="6"/>
    </row>
    <row r="64">
      <c r="A64" s="13"/>
      <c r="B64" s="13"/>
      <c r="C64" s="61" t="str">
        <f>IF(J61&gt;0,CONCATENATE("50% -&gt;: ",TEXT((J61/2), "R$#.##0,00")),"Não houve lucro")</f>
        <v>50% -&gt;: R$6.586,67000</v>
      </c>
      <c r="D64" s="62"/>
      <c r="E64" s="62"/>
      <c r="F64" s="62"/>
      <c r="G64" s="62"/>
      <c r="H64" s="62"/>
      <c r="I64" s="62"/>
      <c r="J64" s="63"/>
      <c r="K64" s="58"/>
      <c r="L64" s="5"/>
      <c r="O64" s="6"/>
      <c r="Q64" s="6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5"/>
      <c r="N65" s="49">
        <v>3983.05</v>
      </c>
      <c r="O65" s="6"/>
      <c r="Q65" s="6"/>
    </row>
    <row r="66">
      <c r="A66" s="1" t="s">
        <v>37</v>
      </c>
      <c r="B66" s="2"/>
      <c r="C66" s="2"/>
      <c r="D66" s="2"/>
      <c r="E66" s="2"/>
      <c r="F66" s="2"/>
      <c r="G66" s="2"/>
      <c r="H66" s="2"/>
      <c r="I66" s="2"/>
      <c r="J66" s="3"/>
      <c r="K66" s="13"/>
      <c r="L66" s="5"/>
      <c r="O66" s="6"/>
      <c r="Q66" s="6"/>
    </row>
    <row r="67">
      <c r="A67" s="7" t="s">
        <v>1</v>
      </c>
      <c r="B67" s="8" t="s">
        <v>2</v>
      </c>
      <c r="C67" s="8" t="s">
        <v>3</v>
      </c>
      <c r="D67" s="9" t="s">
        <v>4</v>
      </c>
      <c r="E67" s="10" t="s">
        <v>5</v>
      </c>
      <c r="F67" s="10" t="s">
        <v>6</v>
      </c>
      <c r="G67" s="10" t="s">
        <v>7</v>
      </c>
      <c r="H67" s="10" t="s">
        <v>8</v>
      </c>
      <c r="I67" s="10" t="s">
        <v>9</v>
      </c>
      <c r="J67" s="11" t="s">
        <v>10</v>
      </c>
      <c r="K67" s="13"/>
      <c r="L67" s="5"/>
      <c r="O67" s="6"/>
      <c r="Q67" s="6"/>
    </row>
    <row r="68">
      <c r="A68" s="12"/>
      <c r="B68" s="13" t="s">
        <v>38</v>
      </c>
      <c r="C68" s="14" t="s">
        <v>22</v>
      </c>
      <c r="D68" s="35">
        <v>1.0</v>
      </c>
      <c r="E68" s="36">
        <v>3100.0</v>
      </c>
      <c r="F68" s="16">
        <f t="shared" ref="F68:F75" si="13">D68*E68</f>
        <v>3100</v>
      </c>
      <c r="G68" s="17"/>
      <c r="H68" s="16"/>
      <c r="I68" s="16"/>
      <c r="J68" s="18">
        <f t="shared" ref="J68:J76" si="14">F68+G68+H68+I68</f>
        <v>3100</v>
      </c>
      <c r="K68" s="13"/>
      <c r="L68" s="5"/>
      <c r="O68" s="6"/>
      <c r="Q68" s="6"/>
    </row>
    <row r="69">
      <c r="A69" s="12"/>
      <c r="B69" s="13" t="s">
        <v>38</v>
      </c>
      <c r="C69" s="14" t="s">
        <v>22</v>
      </c>
      <c r="D69" s="15">
        <v>3.0</v>
      </c>
      <c r="E69" s="16">
        <v>2980.0</v>
      </c>
      <c r="F69" s="16">
        <f t="shared" si="13"/>
        <v>8940</v>
      </c>
      <c r="G69" s="17"/>
      <c r="H69" s="16"/>
      <c r="I69" s="16"/>
      <c r="J69" s="18">
        <f t="shared" si="14"/>
        <v>8940</v>
      </c>
      <c r="K69" s="13"/>
      <c r="L69" s="5"/>
      <c r="O69" s="6"/>
      <c r="Q69" s="6"/>
    </row>
    <row r="70">
      <c r="A70" s="12">
        <v>46121.0</v>
      </c>
      <c r="B70" s="13" t="s">
        <v>11</v>
      </c>
      <c r="C70" s="14" t="s">
        <v>39</v>
      </c>
      <c r="D70" s="15">
        <v>21.0</v>
      </c>
      <c r="E70" s="16">
        <v>3000.0</v>
      </c>
      <c r="F70" s="16">
        <f t="shared" si="13"/>
        <v>63000</v>
      </c>
      <c r="G70" s="17">
        <f t="shared" ref="G70:G71" si="15">(2289/43)*D70</f>
        <v>1117.883721</v>
      </c>
      <c r="H70" s="16">
        <f t="shared" ref="H70:H71" si="16">15*D70</f>
        <v>315</v>
      </c>
      <c r="I70" s="16"/>
      <c r="J70" s="18">
        <f t="shared" si="14"/>
        <v>64432.88372</v>
      </c>
      <c r="K70" s="13"/>
      <c r="L70" s="5"/>
      <c r="O70" s="6"/>
      <c r="Q70" s="6"/>
    </row>
    <row r="71">
      <c r="A71" s="12">
        <v>46121.0</v>
      </c>
      <c r="B71" s="13" t="s">
        <v>11</v>
      </c>
      <c r="C71" s="14" t="s">
        <v>40</v>
      </c>
      <c r="D71" s="15">
        <v>22.0</v>
      </c>
      <c r="E71" s="16">
        <v>2950.0</v>
      </c>
      <c r="F71" s="16">
        <f t="shared" si="13"/>
        <v>64900</v>
      </c>
      <c r="G71" s="17">
        <f t="shared" si="15"/>
        <v>1171.116279</v>
      </c>
      <c r="H71" s="16">
        <f t="shared" si="16"/>
        <v>330</v>
      </c>
      <c r="I71" s="16"/>
      <c r="J71" s="18">
        <f t="shared" si="14"/>
        <v>66401.11628</v>
      </c>
      <c r="K71" s="13"/>
      <c r="L71" s="5"/>
      <c r="O71" s="6"/>
      <c r="Q71" s="6"/>
    </row>
    <row r="72">
      <c r="A72" s="12">
        <v>46126.0</v>
      </c>
      <c r="B72" s="13" t="s">
        <v>11</v>
      </c>
      <c r="C72" s="14" t="s">
        <v>41</v>
      </c>
      <c r="D72" s="15">
        <v>29.0</v>
      </c>
      <c r="E72" s="16">
        <f>95056/29</f>
        <v>3277.793103</v>
      </c>
      <c r="F72" s="16">
        <f t="shared" si="13"/>
        <v>95056</v>
      </c>
      <c r="G72" s="17">
        <v>1639.0</v>
      </c>
      <c r="H72" s="16"/>
      <c r="I72" s="16"/>
      <c r="J72" s="18">
        <f t="shared" si="14"/>
        <v>96695</v>
      </c>
      <c r="K72" s="13"/>
      <c r="L72" s="5"/>
      <c r="O72" s="6"/>
      <c r="Q72" s="6"/>
    </row>
    <row r="73">
      <c r="A73" s="12">
        <v>46123.0</v>
      </c>
      <c r="B73" s="13" t="s">
        <v>11</v>
      </c>
      <c r="C73" s="14" t="s">
        <v>42</v>
      </c>
      <c r="D73" s="15">
        <v>29.0</v>
      </c>
      <c r="E73" s="16">
        <f>91085/29</f>
        <v>3140.862069</v>
      </c>
      <c r="F73" s="16">
        <f t="shared" si="13"/>
        <v>91085</v>
      </c>
      <c r="G73" s="17"/>
      <c r="H73" s="16"/>
      <c r="I73" s="16"/>
      <c r="J73" s="18">
        <f t="shared" si="14"/>
        <v>91085</v>
      </c>
      <c r="K73" s="13"/>
      <c r="L73" s="5"/>
      <c r="O73" s="6"/>
      <c r="Q73" s="6"/>
    </row>
    <row r="74">
      <c r="A74" s="12">
        <v>46125.0</v>
      </c>
      <c r="B74" s="13" t="s">
        <v>11</v>
      </c>
      <c r="C74" s="14" t="s">
        <v>29</v>
      </c>
      <c r="D74" s="15">
        <v>34.0</v>
      </c>
      <c r="E74" s="16">
        <v>3000.0</v>
      </c>
      <c r="F74" s="16">
        <f t="shared" si="13"/>
        <v>102000</v>
      </c>
      <c r="G74" s="17"/>
      <c r="H74" s="16"/>
      <c r="I74" s="16"/>
      <c r="J74" s="18">
        <f t="shared" si="14"/>
        <v>102000</v>
      </c>
      <c r="K74" s="13"/>
      <c r="L74" s="5"/>
      <c r="O74" s="6"/>
      <c r="Q74" s="6"/>
    </row>
    <row r="75">
      <c r="A75" s="12">
        <v>46125.0</v>
      </c>
      <c r="B75" s="13" t="s">
        <v>11</v>
      </c>
      <c r="C75" s="14" t="s">
        <v>43</v>
      </c>
      <c r="D75" s="15">
        <v>17.0</v>
      </c>
      <c r="E75" s="16">
        <v>3000.0</v>
      </c>
      <c r="F75" s="16">
        <f t="shared" si="13"/>
        <v>51000</v>
      </c>
      <c r="G75" s="17">
        <v>1495.0</v>
      </c>
      <c r="H75" s="16"/>
      <c r="I75" s="16"/>
      <c r="J75" s="18">
        <f t="shared" si="14"/>
        <v>52495</v>
      </c>
      <c r="K75" s="13">
        <f>D75*4.85</f>
        <v>82.45</v>
      </c>
      <c r="L75" s="64">
        <f>F75-K75</f>
        <v>50917.55</v>
      </c>
      <c r="N75" s="71" t="s">
        <v>44</v>
      </c>
      <c r="O75" s="71"/>
      <c r="P75" s="72"/>
      <c r="Q75" s="6"/>
    </row>
    <row r="76">
      <c r="A76" s="12"/>
      <c r="B76" s="13"/>
      <c r="C76" s="14"/>
      <c r="D76" s="15"/>
      <c r="E76" s="16"/>
      <c r="F76" s="16"/>
      <c r="G76" s="17"/>
      <c r="H76" s="16"/>
      <c r="I76" s="16"/>
      <c r="J76" s="18">
        <f t="shared" si="14"/>
        <v>0</v>
      </c>
      <c r="K76" s="13"/>
      <c r="L76" s="5"/>
      <c r="N76" s="49">
        <v>92.0</v>
      </c>
      <c r="O76" s="6">
        <v>3350.0</v>
      </c>
      <c r="P76" s="6">
        <f t="shared" ref="P76:P77" si="17">N76*O76</f>
        <v>308200</v>
      </c>
      <c r="Q76" s="6"/>
    </row>
    <row r="77">
      <c r="A77" s="12"/>
      <c r="B77" s="13"/>
      <c r="C77" s="13"/>
      <c r="D77" s="15"/>
      <c r="E77" s="19"/>
      <c r="F77" s="16"/>
      <c r="G77" s="16"/>
      <c r="H77" s="16"/>
      <c r="I77" s="16"/>
      <c r="J77" s="18"/>
      <c r="K77" s="13"/>
      <c r="L77" s="5"/>
      <c r="N77" s="49">
        <v>60.0</v>
      </c>
      <c r="O77" s="6">
        <v>3000.0</v>
      </c>
      <c r="P77" s="6">
        <f t="shared" si="17"/>
        <v>180000</v>
      </c>
      <c r="Q77" s="6"/>
    </row>
    <row r="78">
      <c r="A78" s="20"/>
      <c r="B78" s="13"/>
      <c r="C78" s="21" t="s">
        <v>14</v>
      </c>
      <c r="D78" s="22">
        <f>SUM(D68:D75)</f>
        <v>156</v>
      </c>
      <c r="E78" s="16"/>
      <c r="F78" s="16"/>
      <c r="G78" s="16"/>
      <c r="H78" s="23" t="s">
        <v>15</v>
      </c>
      <c r="I78" s="24"/>
      <c r="J78" s="25">
        <f>SUM(J68:J75)</f>
        <v>485149</v>
      </c>
      <c r="K78" s="13">
        <v>25200.0</v>
      </c>
      <c r="L78" s="5"/>
      <c r="O78" s="6"/>
      <c r="P78" s="73">
        <f>SUM(P76:P77)</f>
        <v>488200</v>
      </c>
      <c r="Q78" s="6"/>
    </row>
    <row r="79">
      <c r="A79" s="20"/>
      <c r="B79" s="13"/>
      <c r="C79" s="13"/>
      <c r="D79" s="15"/>
      <c r="E79" s="16"/>
      <c r="F79" s="16"/>
      <c r="G79" s="16"/>
      <c r="H79" s="23" t="s">
        <v>16</v>
      </c>
      <c r="I79" s="24"/>
      <c r="J79" s="26">
        <f>J78/D78</f>
        <v>3109.929487</v>
      </c>
      <c r="K79" s="13">
        <v>2000.0</v>
      </c>
      <c r="L79" s="5"/>
      <c r="O79" s="6"/>
      <c r="Q79" s="6"/>
    </row>
    <row r="80">
      <c r="A80" s="20"/>
      <c r="B80" s="13"/>
      <c r="C80" s="13"/>
      <c r="D80" s="15"/>
      <c r="E80" s="16"/>
      <c r="F80" s="16"/>
      <c r="G80" s="16"/>
      <c r="H80" s="16"/>
      <c r="I80" s="16"/>
      <c r="J80" s="18"/>
      <c r="K80" s="13"/>
      <c r="L80" s="5"/>
      <c r="N80" s="71" t="s">
        <v>45</v>
      </c>
      <c r="O80" s="71"/>
      <c r="P80" s="72"/>
      <c r="Q80" s="6"/>
    </row>
    <row r="81">
      <c r="A81" s="20"/>
      <c r="B81" s="13"/>
      <c r="C81" s="13"/>
      <c r="D81" s="15"/>
      <c r="E81" s="16"/>
      <c r="F81" s="16"/>
      <c r="G81" s="16"/>
      <c r="H81" s="16"/>
      <c r="I81" s="16"/>
      <c r="J81" s="18"/>
      <c r="K81" s="13"/>
      <c r="L81" s="5"/>
      <c r="N81" s="49">
        <v>92.0</v>
      </c>
      <c r="O81" s="6">
        <v>3300.0</v>
      </c>
      <c r="P81" s="6">
        <f t="shared" ref="P81:P82" si="18">N81*O81</f>
        <v>303600</v>
      </c>
      <c r="Q81" s="6"/>
    </row>
    <row r="82">
      <c r="A82" s="20"/>
      <c r="B82" s="13"/>
      <c r="C82" s="13"/>
      <c r="D82" s="15"/>
      <c r="E82" s="16"/>
      <c r="F82" s="16"/>
      <c r="G82" s="16"/>
      <c r="H82" s="28" t="str">
        <f>CONCATENATE("Temos ",D78," cabeças, custando: ",TEXT(J79, "R$#,##"))</f>
        <v>Temos 156 cabeças, custando: R$3.110</v>
      </c>
      <c r="J82" s="29"/>
      <c r="K82" s="13"/>
      <c r="L82" s="5"/>
      <c r="N82" s="49">
        <v>60.0</v>
      </c>
      <c r="O82" s="6">
        <v>2900.0</v>
      </c>
      <c r="P82" s="6">
        <f t="shared" si="18"/>
        <v>174000</v>
      </c>
      <c r="Q82" s="6"/>
    </row>
    <row r="83">
      <c r="A83" s="30" t="s">
        <v>1</v>
      </c>
      <c r="B83" s="31" t="s">
        <v>2</v>
      </c>
      <c r="C83" s="31" t="s">
        <v>3</v>
      </c>
      <c r="D83" s="32" t="s">
        <v>4</v>
      </c>
      <c r="E83" s="33" t="s">
        <v>5</v>
      </c>
      <c r="F83" s="33" t="s">
        <v>6</v>
      </c>
      <c r="G83" s="33" t="s">
        <v>7</v>
      </c>
      <c r="H83" s="33" t="s">
        <v>8</v>
      </c>
      <c r="I83" s="33" t="s">
        <v>17</v>
      </c>
      <c r="J83" s="34" t="s">
        <v>10</v>
      </c>
      <c r="K83" s="13"/>
      <c r="L83" s="5"/>
      <c r="O83" s="6"/>
      <c r="P83" s="73">
        <f>SUM(P81:P82)</f>
        <v>477600</v>
      </c>
      <c r="Q83" s="6"/>
    </row>
    <row r="84">
      <c r="A84" s="12">
        <v>46129.0</v>
      </c>
      <c r="B84" s="13" t="s">
        <v>18</v>
      </c>
      <c r="C84" s="13" t="s">
        <v>30</v>
      </c>
      <c r="D84" s="35">
        <v>92.0</v>
      </c>
      <c r="E84" s="36">
        <v>3350.0</v>
      </c>
      <c r="F84" s="16">
        <f t="shared" ref="F84:F87" si="19">D84*E84</f>
        <v>308200</v>
      </c>
      <c r="G84" s="36"/>
      <c r="H84" s="36"/>
      <c r="I84" s="37">
        <f t="shared" ref="I84:I85" si="20">-4.85*D84</f>
        <v>-446.2</v>
      </c>
      <c r="J84" s="18">
        <f t="shared" ref="J84:J87" si="21">F84+G84+H84+I84</f>
        <v>307753.8</v>
      </c>
      <c r="K84" s="13"/>
      <c r="L84" s="5"/>
      <c r="O84" s="6"/>
      <c r="Q84" s="6"/>
    </row>
    <row r="85">
      <c r="A85" s="12">
        <v>46129.0</v>
      </c>
      <c r="B85" s="13" t="s">
        <v>18</v>
      </c>
      <c r="C85" s="13" t="s">
        <v>30</v>
      </c>
      <c r="D85" s="35">
        <v>60.0</v>
      </c>
      <c r="E85" s="36">
        <v>3000.0</v>
      </c>
      <c r="F85" s="16">
        <f t="shared" si="19"/>
        <v>180000</v>
      </c>
      <c r="G85" s="36"/>
      <c r="H85" s="36"/>
      <c r="I85" s="37">
        <f t="shared" si="20"/>
        <v>-291</v>
      </c>
      <c r="J85" s="18">
        <f t="shared" si="21"/>
        <v>179709</v>
      </c>
      <c r="K85" s="13"/>
      <c r="L85" s="5"/>
      <c r="N85" s="74" t="s">
        <v>46</v>
      </c>
      <c r="O85" s="75"/>
      <c r="P85" s="75">
        <f>P78-P83</f>
        <v>10600</v>
      </c>
      <c r="Q85" s="6"/>
    </row>
    <row r="86">
      <c r="A86" s="39"/>
      <c r="B86" s="40"/>
      <c r="C86" s="40" t="s">
        <v>22</v>
      </c>
      <c r="D86" s="41">
        <v>4.0</v>
      </c>
      <c r="E86" s="42">
        <v>3000.0</v>
      </c>
      <c r="F86" s="43">
        <f t="shared" si="19"/>
        <v>12000</v>
      </c>
      <c r="G86" s="42"/>
      <c r="H86" s="42"/>
      <c r="I86" s="44"/>
      <c r="J86" s="45">
        <f t="shared" si="21"/>
        <v>12000</v>
      </c>
      <c r="K86" s="13"/>
      <c r="L86" s="5"/>
      <c r="Q86" s="6"/>
    </row>
    <row r="87">
      <c r="A87" s="39"/>
      <c r="B87" s="40"/>
      <c r="C87" s="40"/>
      <c r="D87" s="41"/>
      <c r="E87" s="42"/>
      <c r="F87" s="16">
        <f t="shared" si="19"/>
        <v>0</v>
      </c>
      <c r="G87" s="42"/>
      <c r="H87" s="42"/>
      <c r="I87" s="44"/>
      <c r="J87" s="45">
        <f t="shared" si="21"/>
        <v>0</v>
      </c>
      <c r="K87" s="13"/>
      <c r="L87" s="5"/>
      <c r="Q87" s="6"/>
    </row>
    <row r="88">
      <c r="A88" s="12"/>
      <c r="B88" s="13"/>
      <c r="C88" s="13"/>
      <c r="D88" s="15"/>
      <c r="E88" s="16"/>
      <c r="F88" s="16"/>
      <c r="G88" s="16"/>
      <c r="H88" s="16"/>
      <c r="I88" s="16"/>
      <c r="J88" s="18"/>
      <c r="K88" s="13"/>
      <c r="L88" s="5"/>
      <c r="Q88" s="6"/>
    </row>
    <row r="89">
      <c r="A89" s="20"/>
      <c r="B89" s="13"/>
      <c r="C89" s="50" t="s">
        <v>14</v>
      </c>
      <c r="D89" s="22">
        <f>SUM(D84:D88)</f>
        <v>156</v>
      </c>
      <c r="E89" s="16"/>
      <c r="F89" s="16"/>
      <c r="G89" s="16"/>
      <c r="H89" s="51" t="s">
        <v>10</v>
      </c>
      <c r="I89" s="24"/>
      <c r="J89" s="25">
        <f>SUM(J84:J88)</f>
        <v>499462.8</v>
      </c>
      <c r="K89" s="13"/>
      <c r="L89" s="5"/>
      <c r="Q89" s="6"/>
    </row>
    <row r="90">
      <c r="A90" s="20"/>
      <c r="B90" s="13"/>
      <c r="C90" s="13"/>
      <c r="D90" s="15"/>
      <c r="E90" s="16"/>
      <c r="F90" s="16"/>
      <c r="G90" s="16"/>
      <c r="H90" s="51" t="s">
        <v>16</v>
      </c>
      <c r="I90" s="24"/>
      <c r="J90" s="26">
        <f>J89/D89</f>
        <v>3201.684615</v>
      </c>
      <c r="K90" s="13"/>
      <c r="L90" s="5" t="s">
        <v>33</v>
      </c>
      <c r="Q90" s="6"/>
    </row>
    <row r="91">
      <c r="A91" s="20"/>
      <c r="B91" s="13"/>
      <c r="C91" s="13"/>
      <c r="D91" s="15"/>
      <c r="E91" s="16"/>
      <c r="F91" s="16"/>
      <c r="G91" s="16"/>
      <c r="H91" s="16"/>
      <c r="I91" s="16"/>
      <c r="J91" s="18"/>
      <c r="K91" s="13"/>
      <c r="L91" s="5"/>
      <c r="Q91" s="6"/>
    </row>
    <row r="92">
      <c r="A92" s="20"/>
      <c r="B92" s="13"/>
      <c r="C92" s="13"/>
      <c r="D92" s="15"/>
      <c r="E92" s="16"/>
      <c r="F92" s="16"/>
      <c r="G92" s="16"/>
      <c r="H92" s="51" t="s">
        <v>23</v>
      </c>
      <c r="I92" s="24"/>
      <c r="J92" s="25">
        <f>J89-J78</f>
        <v>14313.8</v>
      </c>
      <c r="K92" s="13"/>
      <c r="L92" s="5"/>
      <c r="O92" s="6"/>
      <c r="Q92" s="6"/>
    </row>
    <row r="93">
      <c r="A93" s="20"/>
      <c r="B93" s="13"/>
      <c r="C93" s="13"/>
      <c r="D93" s="15"/>
      <c r="E93" s="16"/>
      <c r="F93" s="16"/>
      <c r="G93" s="16"/>
      <c r="H93" s="16"/>
      <c r="I93" s="16"/>
      <c r="J93" s="18"/>
      <c r="K93" s="13"/>
      <c r="L93" s="5"/>
      <c r="O93" s="6"/>
      <c r="Q93" s="6"/>
    </row>
    <row r="94">
      <c r="A94" s="20"/>
      <c r="B94" s="13"/>
      <c r="C94" s="55" t="s">
        <v>22</v>
      </c>
      <c r="D94" s="15">
        <f>D78-D89</f>
        <v>0</v>
      </c>
      <c r="E94" s="16"/>
      <c r="F94" s="16"/>
      <c r="G94" s="16"/>
      <c r="H94" s="56" t="s">
        <v>24</v>
      </c>
      <c r="I94" s="24"/>
      <c r="J94" s="18" t="str">
        <f>J92/D94</f>
        <v>#DIV/0!</v>
      </c>
      <c r="K94" s="13"/>
      <c r="L94" s="5"/>
      <c r="O94" s="6"/>
      <c r="Q94" s="6"/>
    </row>
    <row r="95">
      <c r="A95" s="20"/>
      <c r="B95" s="13"/>
      <c r="C95" s="13"/>
      <c r="D95" s="15"/>
      <c r="E95" s="16"/>
      <c r="F95" s="16"/>
      <c r="G95" s="16"/>
      <c r="H95" s="57" t="s">
        <v>25</v>
      </c>
      <c r="I95" s="24"/>
      <c r="J95" s="18">
        <f>J92/D89</f>
        <v>91.75512821</v>
      </c>
      <c r="K95" s="13"/>
      <c r="L95" s="5"/>
      <c r="M95" s="49">
        <v>92.0</v>
      </c>
      <c r="O95" s="6"/>
      <c r="Q95" s="6"/>
    </row>
    <row r="96">
      <c r="A96" s="20"/>
      <c r="B96" s="13"/>
      <c r="C96" s="13"/>
      <c r="D96" s="15"/>
      <c r="E96" s="16"/>
      <c r="F96" s="16"/>
      <c r="G96" s="16"/>
      <c r="H96" s="58"/>
      <c r="I96" s="58"/>
      <c r="J96" s="18"/>
      <c r="K96" s="13"/>
      <c r="L96" s="5"/>
      <c r="M96" s="38"/>
      <c r="N96" s="38"/>
      <c r="O96" s="6"/>
      <c r="Q96" s="6"/>
    </row>
    <row r="97" hidden="1">
      <c r="A97" s="20"/>
      <c r="B97" s="13"/>
      <c r="C97" s="13"/>
      <c r="D97" s="15"/>
      <c r="E97" s="16"/>
      <c r="F97" s="65"/>
      <c r="G97" s="66"/>
      <c r="H97" s="66"/>
      <c r="I97" s="67"/>
      <c r="J97" s="68"/>
      <c r="K97" s="16"/>
      <c r="L97" s="5"/>
      <c r="O97" s="6"/>
      <c r="Q97" s="6"/>
    </row>
    <row r="98" hidden="1">
      <c r="A98" s="20"/>
      <c r="B98" s="13"/>
      <c r="C98" s="13"/>
      <c r="D98" s="15"/>
      <c r="E98" s="16"/>
      <c r="F98" s="69"/>
      <c r="G98" s="66"/>
      <c r="H98" s="66"/>
      <c r="I98" s="67"/>
      <c r="J98" s="68"/>
      <c r="K98" s="16"/>
      <c r="L98" s="5"/>
      <c r="O98" s="6"/>
      <c r="Q98" s="6"/>
    </row>
    <row r="99">
      <c r="A99" s="20"/>
      <c r="B99" s="13"/>
      <c r="C99" s="13"/>
      <c r="D99" s="15"/>
      <c r="E99" s="16"/>
      <c r="F99" s="70"/>
      <c r="G99" s="70"/>
      <c r="H99" s="51" t="s">
        <v>36</v>
      </c>
      <c r="I99" s="24"/>
      <c r="J99" s="25">
        <f>J92+J97+J98</f>
        <v>14313.8</v>
      </c>
      <c r="K99" s="16"/>
      <c r="L99" s="64"/>
      <c r="O99" s="6"/>
      <c r="Q99" s="6"/>
    </row>
    <row r="100">
      <c r="A100" s="20"/>
      <c r="B100" s="13"/>
      <c r="C100" s="58" t="str">
        <f>IFERROR("Não sobrou",CONCATENATE("Parceria Mauro -&gt; Sobrou ",#REF!," cabeças, custando: ",TEXT(#REF!, "R$#,##")))</f>
        <v>Não sobrou</v>
      </c>
      <c r="J100" s="29"/>
      <c r="K100" s="58"/>
      <c r="L100" s="5"/>
      <c r="O100" s="6"/>
      <c r="Q100" s="6"/>
    </row>
    <row r="101">
      <c r="A101" s="59"/>
      <c r="B101" s="60"/>
      <c r="C101" s="61" t="str">
        <f>IF(J99&gt;0,CONCATENATE("Total de Lucro Parceria -&gt;: ",TEXT(J99, "R$#.##0,00")),"Não houve lucro")</f>
        <v>Total de Lucro Parceria -&gt;: R$14.313,8000</v>
      </c>
      <c r="D101" s="62"/>
      <c r="E101" s="62"/>
      <c r="F101" s="62"/>
      <c r="G101" s="62"/>
      <c r="H101" s="62"/>
      <c r="I101" s="62"/>
      <c r="J101" s="63"/>
      <c r="K101" s="58"/>
      <c r="L101" s="5"/>
      <c r="O101" s="6"/>
      <c r="Q101" s="6"/>
    </row>
    <row r="102">
      <c r="A102" s="13"/>
      <c r="B102" s="13"/>
      <c r="C102" s="61" t="str">
        <f>IF(J99&gt;0,CONCATENATE("50% -&gt;: ",TEXT((J99/2), "R$#.##0,00")),"Não houve lucro")</f>
        <v>50% -&gt;: R$7.156,9000</v>
      </c>
      <c r="D102" s="62"/>
      <c r="E102" s="62"/>
      <c r="F102" s="62"/>
      <c r="G102" s="62"/>
      <c r="H102" s="62"/>
      <c r="I102" s="62"/>
      <c r="J102" s="63"/>
      <c r="K102" s="58"/>
      <c r="L102" s="5"/>
      <c r="O102" s="6"/>
      <c r="Q102" s="6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"/>
      <c r="O103" s="6"/>
      <c r="Q103" s="6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5"/>
      <c r="O104" s="6"/>
      <c r="Q104" s="6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5"/>
      <c r="O105" s="6"/>
      <c r="Q105" s="6"/>
    </row>
    <row r="106">
      <c r="A106" s="1" t="s">
        <v>47</v>
      </c>
      <c r="B106" s="2"/>
      <c r="C106" s="2"/>
      <c r="D106" s="2"/>
      <c r="E106" s="2"/>
      <c r="F106" s="2"/>
      <c r="G106" s="2"/>
      <c r="H106" s="2"/>
      <c r="I106" s="2"/>
      <c r="J106" s="3"/>
      <c r="K106" s="13"/>
      <c r="L106" s="5"/>
      <c r="O106" s="6"/>
      <c r="Q106" s="6"/>
    </row>
    <row r="107">
      <c r="A107" s="7" t="s">
        <v>1</v>
      </c>
      <c r="B107" s="8" t="s">
        <v>2</v>
      </c>
      <c r="C107" s="8" t="s">
        <v>3</v>
      </c>
      <c r="D107" s="9" t="s">
        <v>4</v>
      </c>
      <c r="E107" s="10" t="s">
        <v>5</v>
      </c>
      <c r="F107" s="10" t="s">
        <v>6</v>
      </c>
      <c r="G107" s="10" t="s">
        <v>7</v>
      </c>
      <c r="H107" s="10" t="s">
        <v>8</v>
      </c>
      <c r="I107" s="10" t="s">
        <v>9</v>
      </c>
      <c r="J107" s="11" t="s">
        <v>10</v>
      </c>
      <c r="K107" s="13"/>
      <c r="L107" s="5"/>
      <c r="O107" s="6"/>
      <c r="Q107" s="6"/>
    </row>
    <row r="108">
      <c r="A108" s="12"/>
      <c r="B108" s="13" t="s">
        <v>38</v>
      </c>
      <c r="C108" s="14" t="s">
        <v>22</v>
      </c>
      <c r="D108" s="35">
        <v>4.0</v>
      </c>
      <c r="E108" s="36">
        <v>3000.0</v>
      </c>
      <c r="F108" s="16">
        <f t="shared" ref="F108:F109" si="22">D108*E108</f>
        <v>12000</v>
      </c>
      <c r="G108" s="17"/>
      <c r="H108" s="16"/>
      <c r="I108" s="16"/>
      <c r="J108" s="18">
        <f t="shared" ref="J108:J110" si="23">F108+G108+H108+I108</f>
        <v>12000</v>
      </c>
      <c r="K108" s="13"/>
      <c r="L108" s="5"/>
      <c r="O108" s="6"/>
      <c r="Q108" s="6"/>
    </row>
    <row r="109">
      <c r="A109" s="12"/>
      <c r="B109" s="13" t="s">
        <v>38</v>
      </c>
      <c r="C109" s="14" t="s">
        <v>48</v>
      </c>
      <c r="D109" s="15">
        <v>23.0</v>
      </c>
      <c r="E109" s="16">
        <v>2970.0</v>
      </c>
      <c r="F109" s="16">
        <f t="shared" si="22"/>
        <v>68310</v>
      </c>
      <c r="G109" s="6">
        <v>1925.0</v>
      </c>
      <c r="H109" s="16">
        <f>23*15</f>
        <v>345</v>
      </c>
      <c r="I109" s="16"/>
      <c r="J109" s="18">
        <f t="shared" si="23"/>
        <v>70580</v>
      </c>
      <c r="K109" s="13"/>
      <c r="L109" s="5"/>
      <c r="O109" s="6"/>
      <c r="Q109" s="6"/>
    </row>
    <row r="110">
      <c r="A110" s="12"/>
      <c r="B110" s="13"/>
      <c r="C110" s="14"/>
      <c r="D110" s="15"/>
      <c r="E110" s="16"/>
      <c r="F110" s="16"/>
      <c r="G110" s="17"/>
      <c r="H110" s="16"/>
      <c r="I110" s="16"/>
      <c r="J110" s="18">
        <f t="shared" si="23"/>
        <v>0</v>
      </c>
      <c r="K110" s="13"/>
      <c r="L110" s="5"/>
      <c r="O110" s="6"/>
      <c r="P110" s="6"/>
      <c r="Q110" s="6"/>
    </row>
    <row r="111">
      <c r="A111" s="12"/>
      <c r="B111" s="13"/>
      <c r="C111" s="13"/>
      <c r="D111" s="15"/>
      <c r="E111" s="19"/>
      <c r="F111" s="16"/>
      <c r="G111" s="16"/>
      <c r="H111" s="16"/>
      <c r="I111" s="16"/>
      <c r="J111" s="18"/>
      <c r="K111" s="13"/>
      <c r="L111" s="5"/>
      <c r="O111" s="6"/>
      <c r="P111" s="6"/>
      <c r="Q111" s="6"/>
    </row>
    <row r="112">
      <c r="A112" s="20"/>
      <c r="B112" s="13"/>
      <c r="C112" s="21" t="s">
        <v>14</v>
      </c>
      <c r="D112" s="22">
        <f>SUM(D108:D109)</f>
        <v>27</v>
      </c>
      <c r="E112" s="16"/>
      <c r="F112" s="16"/>
      <c r="G112" s="16"/>
      <c r="H112" s="23" t="s">
        <v>15</v>
      </c>
      <c r="I112" s="24"/>
      <c r="J112" s="25">
        <f>SUM(J108:J109)</f>
        <v>82580</v>
      </c>
      <c r="K112" s="13">
        <v>25200.0</v>
      </c>
      <c r="L112" s="5"/>
      <c r="O112" s="6"/>
      <c r="P112" s="73"/>
      <c r="Q112" s="6"/>
    </row>
    <row r="113">
      <c r="A113" s="20"/>
      <c r="B113" s="13"/>
      <c r="C113" s="13"/>
      <c r="D113" s="15"/>
      <c r="E113" s="16"/>
      <c r="F113" s="16"/>
      <c r="G113" s="16"/>
      <c r="H113" s="23" t="s">
        <v>16</v>
      </c>
      <c r="I113" s="24"/>
      <c r="J113" s="26">
        <f>J112/D112</f>
        <v>3058.518519</v>
      </c>
      <c r="K113" s="13">
        <v>2000.0</v>
      </c>
      <c r="L113" s="5"/>
      <c r="O113" s="6"/>
      <c r="Q113" s="6"/>
    </row>
    <row r="114">
      <c r="A114" s="20"/>
      <c r="B114" s="13"/>
      <c r="C114" s="13"/>
      <c r="D114" s="15"/>
      <c r="E114" s="16"/>
      <c r="F114" s="16"/>
      <c r="G114" s="16"/>
      <c r="H114" s="16"/>
      <c r="I114" s="16"/>
      <c r="J114" s="18"/>
      <c r="K114" s="13"/>
      <c r="L114" s="5"/>
      <c r="N114" s="71"/>
      <c r="O114" s="71"/>
      <c r="P114" s="72"/>
      <c r="Q114" s="6"/>
    </row>
    <row r="115">
      <c r="A115" s="20"/>
      <c r="B115" s="13"/>
      <c r="C115" s="13"/>
      <c r="D115" s="15"/>
      <c r="E115" s="16"/>
      <c r="F115" s="16"/>
      <c r="G115" s="16"/>
      <c r="H115" s="16"/>
      <c r="I115" s="16"/>
      <c r="J115" s="18"/>
      <c r="K115" s="13"/>
      <c r="L115" s="5"/>
      <c r="O115" s="6"/>
      <c r="P115" s="6"/>
      <c r="Q115" s="6"/>
    </row>
    <row r="116">
      <c r="A116" s="20"/>
      <c r="B116" s="13"/>
      <c r="C116" s="13"/>
      <c r="D116" s="15"/>
      <c r="E116" s="16"/>
      <c r="F116" s="16"/>
      <c r="G116" s="16"/>
      <c r="H116" s="28" t="str">
        <f>CONCATENATE("Temos ",D112," cabeças, custando: ",TEXT(J113, "R$#,##"))</f>
        <v>Temos 27 cabeças, custando: R$3.059</v>
      </c>
      <c r="J116" s="29"/>
      <c r="K116" s="13"/>
      <c r="L116" s="5"/>
      <c r="O116" s="6"/>
      <c r="P116" s="6"/>
      <c r="Q116" s="6"/>
    </row>
    <row r="117">
      <c r="A117" s="30" t="s">
        <v>1</v>
      </c>
      <c r="B117" s="31" t="s">
        <v>2</v>
      </c>
      <c r="C117" s="31" t="s">
        <v>3</v>
      </c>
      <c r="D117" s="32" t="s">
        <v>4</v>
      </c>
      <c r="E117" s="33" t="s">
        <v>5</v>
      </c>
      <c r="F117" s="33" t="s">
        <v>6</v>
      </c>
      <c r="G117" s="33" t="s">
        <v>7</v>
      </c>
      <c r="H117" s="33" t="s">
        <v>8</v>
      </c>
      <c r="I117" s="33" t="s">
        <v>17</v>
      </c>
      <c r="J117" s="34" t="s">
        <v>10</v>
      </c>
      <c r="K117" s="13"/>
      <c r="L117" s="5"/>
      <c r="O117" s="6"/>
      <c r="P117" s="73"/>
      <c r="Q117" s="6"/>
    </row>
    <row r="118">
      <c r="A118" s="12">
        <v>46129.0</v>
      </c>
      <c r="B118" s="13" t="s">
        <v>38</v>
      </c>
      <c r="C118" s="13" t="s">
        <v>30</v>
      </c>
      <c r="D118" s="35">
        <v>15.0</v>
      </c>
      <c r="E118" s="36">
        <v>3150.0</v>
      </c>
      <c r="F118" s="16">
        <f t="shared" ref="F118:F121" si="24">D118*E118</f>
        <v>47250</v>
      </c>
      <c r="G118" s="36"/>
      <c r="H118" s="36"/>
      <c r="I118" s="37">
        <f>-4.85*D118</f>
        <v>-72.75</v>
      </c>
      <c r="J118" s="18">
        <f t="shared" ref="J118:J121" si="25">F118+G118+H118+I118</f>
        <v>47177.25</v>
      </c>
      <c r="K118" s="13"/>
      <c r="L118" s="5"/>
      <c r="O118" s="6"/>
      <c r="Q118" s="6"/>
    </row>
    <row r="119">
      <c r="A119" s="12">
        <v>46129.0</v>
      </c>
      <c r="B119" s="13" t="s">
        <v>38</v>
      </c>
      <c r="C119" s="13" t="s">
        <v>30</v>
      </c>
      <c r="D119" s="35">
        <v>1.0</v>
      </c>
      <c r="E119" s="36">
        <v>3000.0</v>
      </c>
      <c r="F119" s="16">
        <f t="shared" si="24"/>
        <v>3000</v>
      </c>
      <c r="G119" s="36"/>
      <c r="H119" s="36"/>
      <c r="I119" s="37"/>
      <c r="J119" s="18">
        <f t="shared" si="25"/>
        <v>3000</v>
      </c>
      <c r="K119" s="13"/>
      <c r="L119" s="5"/>
      <c r="N119" s="74" t="s">
        <v>46</v>
      </c>
      <c r="O119" s="75"/>
      <c r="P119" s="75">
        <f>P112-P117</f>
        <v>0</v>
      </c>
      <c r="Q119" s="6"/>
    </row>
    <row r="120">
      <c r="A120" s="39"/>
      <c r="B120" s="40"/>
      <c r="C120" s="40" t="s">
        <v>22</v>
      </c>
      <c r="D120" s="41">
        <v>11.0</v>
      </c>
      <c r="E120" s="42">
        <v>3000.0</v>
      </c>
      <c r="F120" s="43">
        <f t="shared" si="24"/>
        <v>33000</v>
      </c>
      <c r="G120" s="42"/>
      <c r="H120" s="42"/>
      <c r="I120" s="44"/>
      <c r="J120" s="45">
        <f t="shared" si="25"/>
        <v>33000</v>
      </c>
      <c r="K120" s="13"/>
      <c r="L120" s="5"/>
      <c r="Q120" s="6"/>
    </row>
    <row r="121">
      <c r="A121" s="39"/>
      <c r="B121" s="40"/>
      <c r="C121" s="40"/>
      <c r="D121" s="41"/>
      <c r="E121" s="42"/>
      <c r="F121" s="16">
        <f t="shared" si="24"/>
        <v>0</v>
      </c>
      <c r="G121" s="42"/>
      <c r="H121" s="42"/>
      <c r="I121" s="44"/>
      <c r="J121" s="45">
        <f t="shared" si="25"/>
        <v>0</v>
      </c>
      <c r="K121" s="13"/>
      <c r="L121" s="5"/>
      <c r="Q121" s="6"/>
    </row>
    <row r="122">
      <c r="A122" s="12"/>
      <c r="B122" s="13"/>
      <c r="C122" s="13"/>
      <c r="D122" s="15"/>
      <c r="E122" s="16"/>
      <c r="F122" s="16"/>
      <c r="G122" s="16"/>
      <c r="H122" s="16"/>
      <c r="I122" s="16"/>
      <c r="J122" s="18"/>
      <c r="K122" s="13"/>
      <c r="L122" s="5"/>
      <c r="Q122" s="6"/>
    </row>
    <row r="123">
      <c r="A123" s="20"/>
      <c r="B123" s="13"/>
      <c r="C123" s="50" t="s">
        <v>14</v>
      </c>
      <c r="D123" s="22">
        <f>SUM(D118:D122)</f>
        <v>27</v>
      </c>
      <c r="E123" s="16"/>
      <c r="F123" s="16"/>
      <c r="G123" s="16"/>
      <c r="H123" s="51" t="s">
        <v>10</v>
      </c>
      <c r="I123" s="24"/>
      <c r="J123" s="25">
        <f>SUM(J118:J122)</f>
        <v>83177.25</v>
      </c>
      <c r="K123" s="13"/>
      <c r="L123" s="5"/>
      <c r="Q123" s="6"/>
    </row>
    <row r="124">
      <c r="A124" s="20"/>
      <c r="B124" s="13"/>
      <c r="C124" s="13"/>
      <c r="D124" s="15"/>
      <c r="E124" s="16"/>
      <c r="F124" s="16"/>
      <c r="G124" s="16"/>
      <c r="H124" s="51" t="s">
        <v>16</v>
      </c>
      <c r="I124" s="24"/>
      <c r="J124" s="26">
        <f>J123/D123</f>
        <v>3080.638889</v>
      </c>
      <c r="K124" s="13"/>
      <c r="L124" s="5" t="s">
        <v>33</v>
      </c>
      <c r="Q124" s="6"/>
    </row>
    <row r="125">
      <c r="A125" s="20"/>
      <c r="B125" s="13"/>
      <c r="C125" s="13"/>
      <c r="D125" s="15"/>
      <c r="E125" s="16"/>
      <c r="F125" s="16"/>
      <c r="G125" s="16"/>
      <c r="H125" s="16"/>
      <c r="I125" s="16"/>
      <c r="J125" s="18"/>
      <c r="K125" s="13"/>
      <c r="L125" s="5"/>
      <c r="Q125" s="6"/>
    </row>
    <row r="126">
      <c r="A126" s="20"/>
      <c r="B126" s="13"/>
      <c r="C126" s="13"/>
      <c r="D126" s="15"/>
      <c r="E126" s="16"/>
      <c r="F126" s="16"/>
      <c r="G126" s="16"/>
      <c r="H126" s="51" t="s">
        <v>23</v>
      </c>
      <c r="I126" s="24"/>
      <c r="J126" s="25">
        <f>J123-J112</f>
        <v>597.25</v>
      </c>
      <c r="K126" s="13"/>
      <c r="L126" s="5"/>
      <c r="O126" s="6"/>
      <c r="Q126" s="6"/>
    </row>
    <row r="127">
      <c r="A127" s="20"/>
      <c r="B127" s="13"/>
      <c r="C127" s="13"/>
      <c r="D127" s="15"/>
      <c r="E127" s="16"/>
      <c r="F127" s="16"/>
      <c r="G127" s="16"/>
      <c r="H127" s="16"/>
      <c r="I127" s="16"/>
      <c r="J127" s="18"/>
      <c r="K127" s="13"/>
      <c r="L127" s="5"/>
      <c r="O127" s="6"/>
      <c r="Q127" s="6"/>
    </row>
    <row r="128">
      <c r="A128" s="20"/>
      <c r="B128" s="13"/>
      <c r="C128" s="55" t="s">
        <v>22</v>
      </c>
      <c r="D128" s="15">
        <f>D112-D123</f>
        <v>0</v>
      </c>
      <c r="E128" s="16"/>
      <c r="F128" s="16"/>
      <c r="G128" s="16"/>
      <c r="H128" s="56" t="s">
        <v>24</v>
      </c>
      <c r="I128" s="24"/>
      <c r="J128" s="18" t="str">
        <f>J126/D128</f>
        <v>#DIV/0!</v>
      </c>
      <c r="K128" s="13"/>
      <c r="L128" s="5"/>
      <c r="O128" s="6"/>
      <c r="Q128" s="6"/>
    </row>
    <row r="129">
      <c r="A129" s="20"/>
      <c r="B129" s="13"/>
      <c r="C129" s="13"/>
      <c r="D129" s="15"/>
      <c r="E129" s="16"/>
      <c r="F129" s="16"/>
      <c r="G129" s="16"/>
      <c r="H129" s="57" t="s">
        <v>25</v>
      </c>
      <c r="I129" s="24"/>
      <c r="J129" s="18">
        <f>J126/D123</f>
        <v>22.12037037</v>
      </c>
      <c r="K129" s="13"/>
      <c r="L129" s="5"/>
      <c r="M129" s="49">
        <v>92.0</v>
      </c>
      <c r="O129" s="6"/>
      <c r="Q129" s="6"/>
    </row>
    <row r="130">
      <c r="A130" s="20"/>
      <c r="B130" s="13"/>
      <c r="C130" s="13"/>
      <c r="D130" s="15"/>
      <c r="E130" s="16"/>
      <c r="F130" s="16"/>
      <c r="G130" s="16"/>
      <c r="H130" s="58"/>
      <c r="I130" s="58"/>
      <c r="J130" s="18"/>
      <c r="K130" s="13"/>
      <c r="L130" s="5"/>
      <c r="M130" s="38"/>
      <c r="N130" s="38"/>
      <c r="O130" s="6"/>
      <c r="Q130" s="6"/>
    </row>
    <row r="131" hidden="1">
      <c r="A131" s="20"/>
      <c r="B131" s="13"/>
      <c r="C131" s="13"/>
      <c r="D131" s="15"/>
      <c r="E131" s="16"/>
      <c r="F131" s="65"/>
      <c r="G131" s="66"/>
      <c r="H131" s="66"/>
      <c r="I131" s="67"/>
      <c r="J131" s="68"/>
      <c r="K131" s="16"/>
      <c r="L131" s="5"/>
      <c r="O131" s="6"/>
      <c r="Q131" s="6"/>
    </row>
    <row r="132" hidden="1">
      <c r="A132" s="20"/>
      <c r="B132" s="13"/>
      <c r="C132" s="13"/>
      <c r="D132" s="15"/>
      <c r="E132" s="16"/>
      <c r="F132" s="69"/>
      <c r="G132" s="66"/>
      <c r="H132" s="66"/>
      <c r="I132" s="67"/>
      <c r="J132" s="68"/>
      <c r="K132" s="16"/>
      <c r="L132" s="5"/>
      <c r="O132" s="71" t="s">
        <v>44</v>
      </c>
      <c r="P132" s="71"/>
      <c r="Q132" s="71"/>
    </row>
    <row r="133">
      <c r="A133" s="20"/>
      <c r="B133" s="13"/>
      <c r="C133" s="13"/>
      <c r="D133" s="15"/>
      <c r="E133" s="16"/>
      <c r="F133" s="70"/>
      <c r="G133" s="70"/>
      <c r="H133" s="51" t="s">
        <v>36</v>
      </c>
      <c r="I133" s="24"/>
      <c r="J133" s="25">
        <f>J126+J131+J132</f>
        <v>597.25</v>
      </c>
      <c r="K133" s="16"/>
      <c r="L133" s="64"/>
      <c r="O133" s="49">
        <v>92.0</v>
      </c>
      <c r="P133" s="6">
        <v>3350.0</v>
      </c>
      <c r="Q133" s="6">
        <f t="shared" ref="Q133:Q135" si="26">O133*P133</f>
        <v>308200</v>
      </c>
    </row>
    <row r="134">
      <c r="A134" s="20"/>
      <c r="B134" s="13"/>
      <c r="C134" s="58" t="str">
        <f>IFERROR("Não sobrou",CONCATENATE("Parceria Mauro -&gt; Sobrou ",#REF!," cabeças, custando: ",TEXT(#REF!, "R$#,##")))</f>
        <v>Não sobrou</v>
      </c>
      <c r="J134" s="29"/>
      <c r="K134" s="58"/>
      <c r="L134" s="5"/>
      <c r="O134" s="49">
        <v>60.0</v>
      </c>
      <c r="P134" s="6">
        <v>3000.0</v>
      </c>
      <c r="Q134" s="6">
        <f t="shared" si="26"/>
        <v>180000</v>
      </c>
    </row>
    <row r="135">
      <c r="A135" s="20"/>
      <c r="B135" s="13"/>
      <c r="C135" s="58"/>
      <c r="D135" s="58"/>
      <c r="E135" s="58"/>
      <c r="F135" s="58"/>
      <c r="G135" s="58"/>
      <c r="H135" s="58"/>
      <c r="I135" s="58"/>
      <c r="J135" s="76"/>
      <c r="K135" s="58"/>
      <c r="L135" s="5"/>
      <c r="O135" s="49">
        <v>15.0</v>
      </c>
      <c r="P135" s="6">
        <v>3150.0</v>
      </c>
      <c r="Q135" s="6">
        <f t="shared" si="26"/>
        <v>47250</v>
      </c>
    </row>
    <row r="136">
      <c r="A136" s="59"/>
      <c r="B136" s="60"/>
      <c r="C136" s="61" t="str">
        <f>IF(J133&gt;0,CONCATENATE("Total de Lucro Parceria -&gt;: ",TEXT(J133, "R$#.##0,00")),"Não houve lucro")</f>
        <v>Total de Lucro Parceria -&gt;: R$597,25000</v>
      </c>
      <c r="D136" s="62"/>
      <c r="E136" s="62"/>
      <c r="F136" s="62"/>
      <c r="G136" s="62"/>
      <c r="H136" s="62"/>
      <c r="I136" s="62"/>
      <c r="J136" s="63"/>
      <c r="K136" s="58"/>
      <c r="L136" s="5"/>
      <c r="P136" s="6"/>
      <c r="Q136" s="73">
        <f>SUM(Q133:Q135)</f>
        <v>535450</v>
      </c>
    </row>
    <row r="137">
      <c r="A137" s="13"/>
      <c r="B137" s="13"/>
      <c r="C137" s="61" t="str">
        <f>IF(J133&gt;0,CONCATENATE("50% -&gt;: ",TEXT((J133/2), "R$#.##0,00")),"Não houve lucro")</f>
        <v>50% -&gt;: R$298,62500</v>
      </c>
      <c r="D137" s="62"/>
      <c r="E137" s="62"/>
      <c r="F137" s="62"/>
      <c r="G137" s="62"/>
      <c r="H137" s="62"/>
      <c r="I137" s="62"/>
      <c r="J137" s="63"/>
      <c r="K137" s="58"/>
      <c r="L137" s="5"/>
      <c r="P137" s="6"/>
      <c r="Q137" s="6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5"/>
      <c r="O138" s="71" t="s">
        <v>45</v>
      </c>
      <c r="P138" s="71"/>
      <c r="Q138" s="71"/>
    </row>
    <row r="139">
      <c r="A139" s="1" t="s">
        <v>49</v>
      </c>
      <c r="B139" s="2"/>
      <c r="C139" s="2"/>
      <c r="D139" s="2"/>
      <c r="E139" s="2"/>
      <c r="F139" s="2"/>
      <c r="G139" s="2"/>
      <c r="H139" s="2"/>
      <c r="I139" s="2"/>
      <c r="J139" s="3"/>
      <c r="K139" s="13"/>
      <c r="L139" s="5"/>
      <c r="O139" s="49">
        <v>92.0</v>
      </c>
      <c r="P139" s="6">
        <v>3300.0</v>
      </c>
      <c r="Q139" s="6">
        <f t="shared" ref="Q139:Q141" si="27">O139*P139</f>
        <v>303600</v>
      </c>
    </row>
    <row r="140">
      <c r="A140" s="7" t="s">
        <v>1</v>
      </c>
      <c r="B140" s="8" t="s">
        <v>2</v>
      </c>
      <c r="C140" s="8" t="s">
        <v>3</v>
      </c>
      <c r="D140" s="9" t="s">
        <v>4</v>
      </c>
      <c r="E140" s="10" t="s">
        <v>5</v>
      </c>
      <c r="F140" s="10" t="s">
        <v>6</v>
      </c>
      <c r="G140" s="10" t="s">
        <v>7</v>
      </c>
      <c r="H140" s="10" t="s">
        <v>8</v>
      </c>
      <c r="I140" s="10" t="s">
        <v>9</v>
      </c>
      <c r="J140" s="11" t="s">
        <v>10</v>
      </c>
      <c r="K140" s="13"/>
      <c r="L140" s="5"/>
      <c r="O140" s="49">
        <v>60.0</v>
      </c>
      <c r="P140" s="6">
        <v>2900.0</v>
      </c>
      <c r="Q140" s="6">
        <f t="shared" si="27"/>
        <v>174000</v>
      </c>
    </row>
    <row r="141">
      <c r="A141" s="12">
        <v>46140.0</v>
      </c>
      <c r="B141" s="13" t="s">
        <v>38</v>
      </c>
      <c r="C141" s="14" t="s">
        <v>50</v>
      </c>
      <c r="D141" s="15">
        <v>105.0</v>
      </c>
      <c r="E141" s="16">
        <v>3100.0</v>
      </c>
      <c r="F141" s="16">
        <f>D141*E141</f>
        <v>325500</v>
      </c>
      <c r="G141" s="6">
        <v>8684.0</v>
      </c>
      <c r="H141" s="16"/>
      <c r="I141" s="16"/>
      <c r="J141" s="18">
        <f>F141+G141+H141+I141</f>
        <v>334184</v>
      </c>
      <c r="K141" s="13"/>
      <c r="L141" s="5"/>
      <c r="O141" s="49">
        <v>15.0</v>
      </c>
      <c r="P141" s="6">
        <v>2900.0</v>
      </c>
      <c r="Q141" s="6">
        <f t="shared" si="27"/>
        <v>43500</v>
      </c>
    </row>
    <row r="142">
      <c r="A142" s="12"/>
      <c r="B142" s="13"/>
      <c r="C142" s="14"/>
      <c r="D142" s="15"/>
      <c r="E142" s="16"/>
      <c r="F142" s="16"/>
      <c r="G142" s="6"/>
      <c r="H142" s="16"/>
      <c r="I142" s="16"/>
      <c r="J142" s="18"/>
      <c r="K142" s="13"/>
      <c r="L142" s="5"/>
      <c r="P142" s="6"/>
      <c r="Q142" s="73">
        <f>SUM(Q139:Q141)</f>
        <v>521100</v>
      </c>
    </row>
    <row r="143">
      <c r="A143" s="12"/>
      <c r="B143" s="13"/>
      <c r="C143" s="13"/>
      <c r="D143" s="15"/>
      <c r="E143" s="19"/>
      <c r="F143" s="16"/>
      <c r="G143" s="16"/>
      <c r="H143" s="16"/>
      <c r="I143" s="16"/>
      <c r="J143" s="18"/>
      <c r="K143" s="13"/>
      <c r="L143" s="5"/>
      <c r="P143" s="6"/>
      <c r="Q143" s="6"/>
    </row>
    <row r="144">
      <c r="A144" s="20"/>
      <c r="B144" s="13"/>
      <c r="C144" s="21" t="s">
        <v>14</v>
      </c>
      <c r="D144" s="22">
        <f>SUM(D141:D142)</f>
        <v>105</v>
      </c>
      <c r="E144" s="16"/>
      <c r="F144" s="16"/>
      <c r="G144" s="16"/>
      <c r="H144" s="23" t="s">
        <v>15</v>
      </c>
      <c r="I144" s="24"/>
      <c r="J144" s="25">
        <f>SUM(J141:J142)</f>
        <v>334184</v>
      </c>
      <c r="K144" s="13"/>
      <c r="L144" s="5"/>
      <c r="P144" s="6"/>
      <c r="Q144" s="6"/>
    </row>
    <row r="145">
      <c r="A145" s="20"/>
      <c r="B145" s="13"/>
      <c r="C145" s="13"/>
      <c r="D145" s="15"/>
      <c r="E145" s="16"/>
      <c r="F145" s="16"/>
      <c r="G145" s="16"/>
      <c r="H145" s="23" t="s">
        <v>16</v>
      </c>
      <c r="I145" s="24"/>
      <c r="J145" s="26">
        <f>J144/D144</f>
        <v>3182.704762</v>
      </c>
      <c r="K145" s="13"/>
      <c r="L145" s="5"/>
      <c r="O145" s="74" t="s">
        <v>46</v>
      </c>
      <c r="P145" s="75"/>
      <c r="Q145" s="75">
        <f>Q136-Q142</f>
        <v>14350</v>
      </c>
    </row>
    <row r="146">
      <c r="A146" s="20"/>
      <c r="B146" s="13"/>
      <c r="C146" s="13"/>
      <c r="D146" s="15"/>
      <c r="E146" s="16"/>
      <c r="F146" s="16"/>
      <c r="G146" s="16"/>
      <c r="H146" s="16"/>
      <c r="I146" s="16"/>
      <c r="J146" s="18"/>
      <c r="K146" s="13"/>
      <c r="L146" s="5"/>
      <c r="O146" s="6"/>
      <c r="Q146" s="6"/>
    </row>
    <row r="147">
      <c r="A147" s="20"/>
      <c r="B147" s="13"/>
      <c r="C147" s="13"/>
      <c r="D147" s="15"/>
      <c r="E147" s="16"/>
      <c r="F147" s="16"/>
      <c r="G147" s="16"/>
      <c r="H147" s="16"/>
      <c r="I147" s="16"/>
      <c r="J147" s="18"/>
      <c r="K147" s="13"/>
      <c r="L147" s="5"/>
      <c r="O147" s="6"/>
      <c r="Q147" s="6"/>
    </row>
    <row r="148">
      <c r="A148" s="20"/>
      <c r="B148" s="13"/>
      <c r="C148" s="13"/>
      <c r="D148" s="15"/>
      <c r="E148" s="16"/>
      <c r="F148" s="16"/>
      <c r="G148" s="16"/>
      <c r="H148" s="28" t="str">
        <f>CONCATENATE("Temos ",D144," cabeças, custando: ",TEXT(J145, "R$#,##"))</f>
        <v>Temos 105 cabeças, custando: R$3.183</v>
      </c>
      <c r="J148" s="29"/>
      <c r="K148" s="13"/>
      <c r="L148" s="5"/>
      <c r="O148" s="6"/>
      <c r="Q148" s="6"/>
    </row>
    <row r="149">
      <c r="A149" s="30" t="s">
        <v>1</v>
      </c>
      <c r="B149" s="31" t="s">
        <v>2</v>
      </c>
      <c r="C149" s="31" t="s">
        <v>3</v>
      </c>
      <c r="D149" s="32" t="s">
        <v>4</v>
      </c>
      <c r="E149" s="33" t="s">
        <v>5</v>
      </c>
      <c r="F149" s="33" t="s">
        <v>6</v>
      </c>
      <c r="G149" s="33" t="s">
        <v>7</v>
      </c>
      <c r="H149" s="33" t="s">
        <v>8</v>
      </c>
      <c r="I149" s="33" t="s">
        <v>17</v>
      </c>
      <c r="J149" s="34" t="s">
        <v>10</v>
      </c>
      <c r="K149" s="13"/>
      <c r="L149" s="5"/>
      <c r="O149" s="6"/>
      <c r="Q149" s="6"/>
    </row>
    <row r="150">
      <c r="A150" s="12">
        <v>46141.0</v>
      </c>
      <c r="B150" s="13" t="s">
        <v>38</v>
      </c>
      <c r="C150" s="13" t="s">
        <v>30</v>
      </c>
      <c r="D150" s="35">
        <v>105.0</v>
      </c>
      <c r="E150" s="36">
        <v>3280.0</v>
      </c>
      <c r="F150" s="16">
        <f>D150*E150</f>
        <v>344400</v>
      </c>
      <c r="G150" s="36"/>
      <c r="H150" s="36"/>
      <c r="I150" s="37">
        <f>-4.85*D150</f>
        <v>-509.25</v>
      </c>
      <c r="J150" s="18">
        <f>F150+G150+H150+I150</f>
        <v>343890.75</v>
      </c>
      <c r="K150" s="13"/>
      <c r="L150" s="5"/>
      <c r="O150" s="6"/>
      <c r="Q150" s="6"/>
    </row>
    <row r="151">
      <c r="A151" s="12"/>
      <c r="B151" s="13"/>
      <c r="C151" s="13"/>
      <c r="D151" s="15"/>
      <c r="E151" s="16"/>
      <c r="F151" s="16"/>
      <c r="G151" s="16"/>
      <c r="H151" s="16"/>
      <c r="I151" s="16"/>
      <c r="J151" s="18"/>
      <c r="K151" s="13"/>
      <c r="L151" s="5"/>
      <c r="O151" s="6"/>
      <c r="Q151" s="6"/>
    </row>
    <row r="152">
      <c r="A152" s="20"/>
      <c r="B152" s="13"/>
      <c r="C152" s="50" t="s">
        <v>14</v>
      </c>
      <c r="D152" s="22">
        <f>SUM(D150:D151)</f>
        <v>105</v>
      </c>
      <c r="E152" s="16"/>
      <c r="F152" s="16"/>
      <c r="G152" s="16"/>
      <c r="H152" s="51" t="s">
        <v>10</v>
      </c>
      <c r="I152" s="24"/>
      <c r="J152" s="25">
        <f>SUM(J150:J151)</f>
        <v>343890.75</v>
      </c>
      <c r="K152" s="13"/>
      <c r="L152" s="5"/>
      <c r="O152" s="6"/>
      <c r="Q152" s="6"/>
    </row>
    <row r="153">
      <c r="A153" s="20"/>
      <c r="B153" s="13"/>
      <c r="C153" s="13"/>
      <c r="D153" s="15"/>
      <c r="E153" s="16"/>
      <c r="F153" s="16"/>
      <c r="G153" s="16"/>
      <c r="H153" s="51" t="s">
        <v>16</v>
      </c>
      <c r="I153" s="24"/>
      <c r="J153" s="26">
        <f>J152/D152</f>
        <v>3275.15</v>
      </c>
      <c r="K153" s="13"/>
      <c r="L153" s="5"/>
      <c r="O153" s="6"/>
      <c r="Q153" s="6"/>
    </row>
    <row r="154">
      <c r="A154" s="20"/>
      <c r="B154" s="13"/>
      <c r="C154" s="13"/>
      <c r="D154" s="15"/>
      <c r="E154" s="16"/>
      <c r="F154" s="16"/>
      <c r="G154" s="16"/>
      <c r="H154" s="16"/>
      <c r="I154" s="16"/>
      <c r="J154" s="18"/>
      <c r="K154" s="13"/>
      <c r="L154" s="5"/>
      <c r="O154" s="6"/>
      <c r="Q154" s="6"/>
    </row>
    <row r="155">
      <c r="A155" s="20"/>
      <c r="B155" s="13"/>
      <c r="C155" s="13"/>
      <c r="D155" s="15"/>
      <c r="E155" s="16"/>
      <c r="F155" s="16"/>
      <c r="G155" s="16"/>
      <c r="H155" s="51" t="s">
        <v>23</v>
      </c>
      <c r="I155" s="24"/>
      <c r="J155" s="25">
        <f>J152-J144</f>
        <v>9706.75</v>
      </c>
      <c r="K155" s="13"/>
      <c r="L155" s="5"/>
      <c r="O155" s="6"/>
      <c r="Q155" s="6"/>
    </row>
    <row r="156">
      <c r="A156" s="20"/>
      <c r="B156" s="13"/>
      <c r="C156" s="13"/>
      <c r="D156" s="15"/>
      <c r="E156" s="16"/>
      <c r="F156" s="16"/>
      <c r="G156" s="16"/>
      <c r="H156" s="16"/>
      <c r="I156" s="16"/>
      <c r="J156" s="18"/>
      <c r="K156" s="13"/>
      <c r="L156" s="64">
        <v>9706.75</v>
      </c>
      <c r="O156" s="6"/>
      <c r="Q156" s="6"/>
    </row>
    <row r="157">
      <c r="A157" s="20"/>
      <c r="B157" s="13"/>
      <c r="C157" s="55" t="s">
        <v>22</v>
      </c>
      <c r="D157" s="15">
        <f>D144-D152</f>
        <v>0</v>
      </c>
      <c r="E157" s="16"/>
      <c r="F157" s="16"/>
      <c r="G157" s="16"/>
      <c r="H157" s="56" t="s">
        <v>24</v>
      </c>
      <c r="I157" s="24"/>
      <c r="J157" s="18" t="str">
        <f>J155/D157</f>
        <v>#DIV/0!</v>
      </c>
      <c r="K157" s="13"/>
      <c r="L157" s="64">
        <v>597.25</v>
      </c>
      <c r="O157" s="6"/>
      <c r="Q157" s="6"/>
    </row>
    <row r="158">
      <c r="A158" s="20"/>
      <c r="B158" s="13"/>
      <c r="C158" s="13"/>
      <c r="D158" s="15"/>
      <c r="E158" s="16"/>
      <c r="F158" s="16"/>
      <c r="G158" s="16"/>
      <c r="H158" s="57" t="s">
        <v>25</v>
      </c>
      <c r="I158" s="24"/>
      <c r="J158" s="18">
        <f>J155/D152</f>
        <v>92.4452381</v>
      </c>
      <c r="K158" s="13"/>
      <c r="L158" s="64">
        <v>17095.951694902382</v>
      </c>
      <c r="O158" s="6"/>
      <c r="Q158" s="6"/>
    </row>
    <row r="159">
      <c r="A159" s="20"/>
      <c r="B159" s="13"/>
      <c r="C159" s="13"/>
      <c r="D159" s="15"/>
      <c r="E159" s="16"/>
      <c r="F159" s="16"/>
      <c r="G159" s="16"/>
      <c r="H159" s="58"/>
      <c r="I159" s="58"/>
      <c r="J159" s="18"/>
      <c r="K159" s="13"/>
      <c r="L159" s="64">
        <v>3120.048305077624</v>
      </c>
      <c r="O159" s="6"/>
      <c r="Q159" s="6"/>
    </row>
    <row r="160" hidden="1">
      <c r="A160" s="20"/>
      <c r="B160" s="13"/>
      <c r="C160" s="13"/>
      <c r="D160" s="15"/>
      <c r="E160" s="16"/>
      <c r="F160" s="65"/>
      <c r="G160" s="66"/>
      <c r="H160" s="66"/>
      <c r="I160" s="67"/>
      <c r="J160" s="68"/>
      <c r="K160" s="13"/>
      <c r="L160" s="5"/>
      <c r="O160" s="6"/>
      <c r="Q160" s="6"/>
    </row>
    <row r="161" hidden="1">
      <c r="A161" s="20"/>
      <c r="B161" s="13"/>
      <c r="C161" s="13"/>
      <c r="D161" s="15"/>
      <c r="E161" s="16"/>
      <c r="F161" s="69"/>
      <c r="G161" s="66"/>
      <c r="H161" s="66"/>
      <c r="I161" s="67"/>
      <c r="J161" s="68"/>
      <c r="K161" s="13"/>
      <c r="L161" s="5"/>
      <c r="O161" s="6"/>
      <c r="Q161" s="6"/>
    </row>
    <row r="162" hidden="1">
      <c r="A162" s="20"/>
      <c r="B162" s="13"/>
      <c r="C162" s="13"/>
      <c r="D162" s="15"/>
      <c r="E162" s="16"/>
      <c r="F162" s="70"/>
      <c r="G162" s="70"/>
      <c r="H162" s="51" t="s">
        <v>36</v>
      </c>
      <c r="I162" s="24"/>
      <c r="J162" s="25">
        <f>J155+J160+J161</f>
        <v>9706.75</v>
      </c>
      <c r="K162" s="13"/>
      <c r="L162" s="5"/>
      <c r="O162" s="6"/>
      <c r="Q162" s="6"/>
    </row>
    <row r="163" hidden="1">
      <c r="A163" s="20"/>
      <c r="B163" s="13"/>
      <c r="C163" s="58" t="str">
        <f>IFERROR("Não sobrou",CONCATENATE("Parceria Mauro -&gt; Sobrou ",#REF!," cabeças, custando: ",TEXT(#REF!, "R$#,##")))</f>
        <v>Não sobrou</v>
      </c>
      <c r="J163" s="29"/>
      <c r="K163" s="13"/>
      <c r="L163" s="5"/>
      <c r="O163" s="6"/>
      <c r="Q163" s="6"/>
    </row>
    <row r="164">
      <c r="A164" s="20"/>
      <c r="B164" s="13"/>
      <c r="C164" s="58"/>
      <c r="D164" s="58"/>
      <c r="E164" s="58"/>
      <c r="F164" s="58"/>
      <c r="G164" s="58"/>
      <c r="H164" s="58"/>
      <c r="I164" s="58"/>
      <c r="J164" s="76"/>
      <c r="K164" s="13"/>
      <c r="L164" s="5"/>
      <c r="O164" s="6"/>
      <c r="Q164" s="6"/>
    </row>
    <row r="165">
      <c r="A165" s="59"/>
      <c r="B165" s="60"/>
      <c r="C165" s="61" t="str">
        <f>IF(J162&gt;0,CONCATENATE("Total de Lucro Parceria -&gt;: ",TEXT(J162, "R$#.##0,00")),"Não houve lucro")</f>
        <v>Total de Lucro Parceria -&gt;: R$9.706,75000</v>
      </c>
      <c r="D165" s="62"/>
      <c r="E165" s="62"/>
      <c r="F165" s="62"/>
      <c r="G165" s="62"/>
      <c r="H165" s="62"/>
      <c r="I165" s="62"/>
      <c r="J165" s="63"/>
      <c r="K165" s="13"/>
      <c r="L165" s="5"/>
      <c r="O165" s="6"/>
      <c r="Q165" s="6"/>
    </row>
    <row r="166">
      <c r="A166" s="13"/>
      <c r="B166" s="13"/>
      <c r="C166" s="61" t="str">
        <f>IF(J162&gt;0,CONCATENATE("50% -&gt;: ",TEXT((J162/2), "R$#.##0,00")),"Não houve lucro")</f>
        <v>50% -&gt;: R$4.853,37500</v>
      </c>
      <c r="D166" s="62"/>
      <c r="E166" s="62"/>
      <c r="F166" s="62"/>
      <c r="G166" s="62"/>
      <c r="H166" s="62"/>
      <c r="I166" s="62"/>
      <c r="J166" s="63"/>
      <c r="K166" s="13"/>
      <c r="L166" s="5"/>
      <c r="O166" s="6"/>
      <c r="Q166" s="6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5"/>
      <c r="O167" s="6"/>
      <c r="Q167" s="6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5"/>
      <c r="O168" s="6"/>
      <c r="Q168" s="6"/>
    </row>
    <row r="169">
      <c r="A169" s="1" t="s">
        <v>51</v>
      </c>
      <c r="B169" s="2"/>
      <c r="C169" s="2"/>
      <c r="D169" s="2"/>
      <c r="E169" s="2"/>
      <c r="F169" s="2"/>
      <c r="G169" s="2"/>
      <c r="H169" s="2"/>
      <c r="I169" s="2"/>
      <c r="J169" s="3"/>
      <c r="K169" s="13"/>
      <c r="L169" s="5"/>
      <c r="M169" s="49" t="s">
        <v>52</v>
      </c>
      <c r="O169" s="64">
        <v>597.25</v>
      </c>
      <c r="Q169" s="6"/>
    </row>
    <row r="170">
      <c r="A170" s="7" t="s">
        <v>1</v>
      </c>
      <c r="B170" s="8" t="s">
        <v>2</v>
      </c>
      <c r="C170" s="8" t="s">
        <v>3</v>
      </c>
      <c r="D170" s="9" t="s">
        <v>4</v>
      </c>
      <c r="E170" s="10" t="s">
        <v>5</v>
      </c>
      <c r="F170" s="10" t="s">
        <v>6</v>
      </c>
      <c r="G170" s="10" t="s">
        <v>7</v>
      </c>
      <c r="H170" s="10" t="s">
        <v>8</v>
      </c>
      <c r="I170" s="10" t="s">
        <v>9</v>
      </c>
      <c r="J170" s="11" t="s">
        <v>10</v>
      </c>
      <c r="K170" s="13"/>
      <c r="L170" s="5"/>
      <c r="M170" s="49" t="s">
        <v>53</v>
      </c>
      <c r="O170" s="64">
        <v>16525.951694902382</v>
      </c>
      <c r="Q170" s="6"/>
    </row>
    <row r="171">
      <c r="A171" s="12"/>
      <c r="B171" s="13" t="s">
        <v>11</v>
      </c>
      <c r="C171" s="14" t="s">
        <v>22</v>
      </c>
      <c r="D171" s="35">
        <v>11.0</v>
      </c>
      <c r="E171" s="36">
        <v>3000.0</v>
      </c>
      <c r="F171" s="16">
        <f t="shared" ref="F171:F174" si="28">D171*E171</f>
        <v>33000</v>
      </c>
      <c r="G171" s="6"/>
      <c r="H171" s="16"/>
      <c r="I171" s="16"/>
      <c r="J171" s="18">
        <f t="shared" ref="J171:J174" si="29">F171+G171+H171+I171</f>
        <v>33000</v>
      </c>
      <c r="K171" s="13"/>
      <c r="L171" s="5"/>
      <c r="M171" s="49" t="s">
        <v>54</v>
      </c>
      <c r="O171" s="64">
        <v>9706.75</v>
      </c>
      <c r="Q171" s="6"/>
    </row>
    <row r="172">
      <c r="A172" s="12">
        <v>46141.0</v>
      </c>
      <c r="B172" s="13" t="s">
        <v>11</v>
      </c>
      <c r="C172" s="14" t="s">
        <v>55</v>
      </c>
      <c r="D172" s="15">
        <v>32.0</v>
      </c>
      <c r="E172" s="16">
        <v>2870.0</v>
      </c>
      <c r="F172" s="16">
        <f t="shared" si="28"/>
        <v>91840</v>
      </c>
      <c r="G172" s="6">
        <v>780.0</v>
      </c>
      <c r="H172" s="16"/>
      <c r="I172" s="16"/>
      <c r="J172" s="18">
        <f t="shared" si="29"/>
        <v>92620</v>
      </c>
      <c r="K172" s="13"/>
      <c r="L172" s="5"/>
      <c r="M172" s="49" t="s">
        <v>56</v>
      </c>
      <c r="O172" s="64">
        <v>805.04830507762</v>
      </c>
      <c r="Q172" s="6"/>
    </row>
    <row r="173">
      <c r="A173" s="12">
        <v>46137.0</v>
      </c>
      <c r="B173" s="13" t="s">
        <v>11</v>
      </c>
      <c r="C173" s="14" t="s">
        <v>57</v>
      </c>
      <c r="D173" s="15">
        <v>30.0</v>
      </c>
      <c r="E173" s="16">
        <v>2650.0</v>
      </c>
      <c r="F173" s="16">
        <f t="shared" si="28"/>
        <v>79500</v>
      </c>
      <c r="G173" s="6">
        <v>2834.0</v>
      </c>
      <c r="H173" s="16"/>
      <c r="I173" s="16"/>
      <c r="J173" s="18">
        <f t="shared" si="29"/>
        <v>82334</v>
      </c>
      <c r="K173" s="13"/>
      <c r="L173" s="5"/>
      <c r="O173" s="73">
        <f>SUM(O169:O172)</f>
        <v>27635</v>
      </c>
      <c r="Q173" s="6"/>
    </row>
    <row r="174">
      <c r="A174" s="12">
        <v>46143.0</v>
      </c>
      <c r="B174" s="13" t="s">
        <v>11</v>
      </c>
      <c r="C174" s="14" t="s">
        <v>58</v>
      </c>
      <c r="D174" s="15">
        <v>38.0</v>
      </c>
      <c r="E174" s="16">
        <f>2900+11.86440678</f>
        <v>2911.864407</v>
      </c>
      <c r="F174" s="16">
        <f t="shared" si="28"/>
        <v>110650.8475</v>
      </c>
      <c r="G174" s="6">
        <f>(4998/59)*D174</f>
        <v>3219.050847</v>
      </c>
      <c r="H174" s="16">
        <f>38*15</f>
        <v>570</v>
      </c>
      <c r="I174" s="16"/>
      <c r="J174" s="18">
        <f t="shared" si="29"/>
        <v>114439.8983</v>
      </c>
      <c r="K174" s="13"/>
      <c r="L174" s="5"/>
      <c r="O174" s="6">
        <f>O173/2</f>
        <v>13817.5</v>
      </c>
      <c r="Q174" s="6"/>
    </row>
    <row r="175">
      <c r="A175" s="12"/>
      <c r="B175" s="13"/>
      <c r="C175" s="14"/>
      <c r="D175" s="15"/>
      <c r="E175" s="16"/>
      <c r="F175" s="16"/>
      <c r="G175" s="6"/>
      <c r="H175" s="16"/>
      <c r="I175" s="16"/>
      <c r="J175" s="18"/>
      <c r="K175" s="13"/>
      <c r="L175" s="5"/>
      <c r="O175" s="6"/>
      <c r="Q175" s="6"/>
    </row>
    <row r="176">
      <c r="A176" s="12"/>
      <c r="B176" s="13"/>
      <c r="C176" s="13"/>
      <c r="D176" s="15"/>
      <c r="E176" s="19"/>
      <c r="F176" s="16"/>
      <c r="G176" s="16"/>
      <c r="H176" s="16"/>
      <c r="I176" s="16"/>
      <c r="J176" s="18"/>
      <c r="K176" s="13"/>
      <c r="L176" s="5"/>
      <c r="O176" s="6"/>
      <c r="Q176" s="6"/>
    </row>
    <row r="177">
      <c r="A177" s="20"/>
      <c r="B177" s="13"/>
      <c r="C177" s="21" t="s">
        <v>14</v>
      </c>
      <c r="D177" s="22">
        <f>SUM(D171:D174)</f>
        <v>111</v>
      </c>
      <c r="E177" s="16"/>
      <c r="F177" s="16"/>
      <c r="G177" s="16"/>
      <c r="H177" s="23" t="s">
        <v>15</v>
      </c>
      <c r="I177" s="24"/>
      <c r="J177" s="25">
        <f>SUM(J171:J174)</f>
        <v>322393.8983</v>
      </c>
      <c r="K177" s="13"/>
      <c r="L177" s="5"/>
      <c r="O177" s="6"/>
      <c r="Q177" s="6"/>
    </row>
    <row r="178">
      <c r="A178" s="20"/>
      <c r="B178" s="13"/>
      <c r="C178" s="13"/>
      <c r="D178" s="15"/>
      <c r="E178" s="16"/>
      <c r="F178" s="16"/>
      <c r="G178" s="16"/>
      <c r="H178" s="23" t="s">
        <v>16</v>
      </c>
      <c r="I178" s="24"/>
      <c r="J178" s="26">
        <f>J177/D177</f>
        <v>2904.449534</v>
      </c>
      <c r="K178" s="13"/>
      <c r="L178" s="5"/>
      <c r="O178" s="6"/>
      <c r="Q178" s="6"/>
    </row>
    <row r="179">
      <c r="A179" s="20"/>
      <c r="B179" s="13"/>
      <c r="C179" s="13"/>
      <c r="D179" s="15"/>
      <c r="E179" s="16"/>
      <c r="F179" s="16"/>
      <c r="G179" s="16"/>
      <c r="H179" s="16"/>
      <c r="I179" s="16"/>
      <c r="J179" s="18"/>
      <c r="K179" s="13"/>
      <c r="L179" s="5"/>
      <c r="O179" s="6"/>
      <c r="Q179" s="6"/>
    </row>
    <row r="180">
      <c r="A180" s="20"/>
      <c r="B180" s="13"/>
      <c r="C180" s="13"/>
      <c r="D180" s="15"/>
      <c r="E180" s="16"/>
      <c r="F180" s="16"/>
      <c r="G180" s="16"/>
      <c r="H180" s="16"/>
      <c r="I180" s="16"/>
      <c r="J180" s="18"/>
      <c r="K180" s="13"/>
      <c r="L180" s="5"/>
      <c r="O180" s="6"/>
      <c r="Q180" s="6"/>
    </row>
    <row r="181">
      <c r="A181" s="20"/>
      <c r="B181" s="13"/>
      <c r="C181" s="13"/>
      <c r="D181" s="15"/>
      <c r="E181" s="16"/>
      <c r="F181" s="16"/>
      <c r="G181" s="16"/>
      <c r="H181" s="28" t="str">
        <f>CONCATENATE("Temos ",D177," cabeças, custando: ",TEXT(J178, "R$#,##"))</f>
        <v>Temos 111 cabeças, custando: R$2.904</v>
      </c>
      <c r="J181" s="29"/>
      <c r="K181" s="13"/>
      <c r="L181" s="5"/>
      <c r="O181" s="6"/>
      <c r="Q181" s="6"/>
    </row>
    <row r="182">
      <c r="A182" s="30" t="s">
        <v>1</v>
      </c>
      <c r="B182" s="31" t="s">
        <v>2</v>
      </c>
      <c r="C182" s="31" t="s">
        <v>3</v>
      </c>
      <c r="D182" s="32" t="s">
        <v>4</v>
      </c>
      <c r="E182" s="33" t="s">
        <v>5</v>
      </c>
      <c r="F182" s="33" t="s">
        <v>6</v>
      </c>
      <c r="G182" s="33" t="s">
        <v>7</v>
      </c>
      <c r="H182" s="33" t="s">
        <v>8</v>
      </c>
      <c r="I182" s="33" t="s">
        <v>17</v>
      </c>
      <c r="J182" s="34" t="s">
        <v>10</v>
      </c>
      <c r="K182" s="13"/>
      <c r="L182" s="5"/>
      <c r="O182" s="6"/>
      <c r="Q182" s="6"/>
    </row>
    <row r="183">
      <c r="A183" s="12">
        <v>46143.0</v>
      </c>
      <c r="B183" s="13" t="s">
        <v>20</v>
      </c>
      <c r="C183" s="13" t="s">
        <v>30</v>
      </c>
      <c r="D183" s="35">
        <v>61.0</v>
      </c>
      <c r="E183" s="36">
        <v>3000.0</v>
      </c>
      <c r="F183" s="16">
        <f t="shared" ref="F183:F186" si="30">D183*E183</f>
        <v>183000</v>
      </c>
      <c r="G183" s="36"/>
      <c r="H183" s="36"/>
      <c r="I183" s="37">
        <f t="shared" ref="I183:I184" si="31">-4.85*D183</f>
        <v>-295.85</v>
      </c>
      <c r="J183" s="18">
        <f t="shared" ref="J183:J186" si="32">F183+G183+H183+I183</f>
        <v>182704.15</v>
      </c>
      <c r="K183" s="13" t="s">
        <v>59</v>
      </c>
      <c r="L183" s="5"/>
      <c r="O183" s="6"/>
      <c r="Q183" s="6"/>
    </row>
    <row r="184">
      <c r="A184" s="12">
        <v>46143.0</v>
      </c>
      <c r="B184" s="13" t="s">
        <v>20</v>
      </c>
      <c r="C184" s="13" t="s">
        <v>30</v>
      </c>
      <c r="D184" s="35">
        <v>38.0</v>
      </c>
      <c r="E184" s="36">
        <v>3200.0</v>
      </c>
      <c r="F184" s="16">
        <f t="shared" si="30"/>
        <v>121600</v>
      </c>
      <c r="G184" s="36"/>
      <c r="H184" s="36"/>
      <c r="I184" s="37">
        <f t="shared" si="31"/>
        <v>-184.3</v>
      </c>
      <c r="J184" s="18">
        <f t="shared" si="32"/>
        <v>121415.7</v>
      </c>
      <c r="K184" s="13"/>
      <c r="L184" s="5">
        <f>-4.85*3</f>
        <v>-14.55</v>
      </c>
      <c r="O184" s="6"/>
      <c r="Q184" s="6"/>
    </row>
    <row r="185">
      <c r="A185" s="12">
        <v>46143.0</v>
      </c>
      <c r="B185" s="13" t="s">
        <v>20</v>
      </c>
      <c r="C185" s="13"/>
      <c r="D185" s="41">
        <v>12.0</v>
      </c>
      <c r="E185" s="42">
        <v>2900.0</v>
      </c>
      <c r="F185" s="43">
        <f t="shared" si="30"/>
        <v>34800</v>
      </c>
      <c r="G185" s="42"/>
      <c r="H185" s="42"/>
      <c r="I185" s="44"/>
      <c r="J185" s="45">
        <f t="shared" si="32"/>
        <v>34800</v>
      </c>
      <c r="K185" s="13"/>
      <c r="L185" s="5"/>
      <c r="O185" s="6"/>
      <c r="Q185" s="6"/>
    </row>
    <row r="186">
      <c r="A186" s="39"/>
      <c r="B186" s="40"/>
      <c r="C186" s="40"/>
      <c r="D186" s="41"/>
      <c r="E186" s="42"/>
      <c r="F186" s="16">
        <f t="shared" si="30"/>
        <v>0</v>
      </c>
      <c r="G186" s="42"/>
      <c r="H186" s="42"/>
      <c r="I186" s="44"/>
      <c r="J186" s="45">
        <f t="shared" si="32"/>
        <v>0</v>
      </c>
      <c r="K186" s="13"/>
      <c r="L186" s="5"/>
      <c r="O186" s="6"/>
      <c r="Q186" s="6"/>
    </row>
    <row r="187">
      <c r="A187" s="12"/>
      <c r="B187" s="13"/>
      <c r="C187" s="13"/>
      <c r="D187" s="15"/>
      <c r="E187" s="16"/>
      <c r="F187" s="16"/>
      <c r="G187" s="16"/>
      <c r="H187" s="16"/>
      <c r="I187" s="16"/>
      <c r="J187" s="18"/>
      <c r="K187" s="13"/>
      <c r="L187" s="5"/>
      <c r="O187" s="6"/>
      <c r="Q187" s="6"/>
    </row>
    <row r="188">
      <c r="A188" s="20"/>
      <c r="B188" s="13"/>
      <c r="C188" s="50" t="s">
        <v>14</v>
      </c>
      <c r="D188" s="22">
        <f>SUM(D183:D187)</f>
        <v>111</v>
      </c>
      <c r="E188" s="16"/>
      <c r="F188" s="16"/>
      <c r="G188" s="16"/>
      <c r="H188" s="51" t="s">
        <v>10</v>
      </c>
      <c r="I188" s="24"/>
      <c r="J188" s="25">
        <f>SUM(J183:J187)</f>
        <v>338919.85</v>
      </c>
      <c r="K188" s="13"/>
      <c r="L188" s="5"/>
      <c r="O188" s="6"/>
      <c r="Q188" s="6"/>
    </row>
    <row r="189">
      <c r="A189" s="20"/>
      <c r="B189" s="13"/>
      <c r="C189" s="13"/>
      <c r="D189" s="15"/>
      <c r="E189" s="16"/>
      <c r="F189" s="16"/>
      <c r="G189" s="16"/>
      <c r="H189" s="51" t="s">
        <v>16</v>
      </c>
      <c r="I189" s="24"/>
      <c r="J189" s="26">
        <f>J188/D188</f>
        <v>3053.331982</v>
      </c>
      <c r="K189" s="13"/>
      <c r="L189" s="5"/>
      <c r="O189" s="6"/>
      <c r="Q189" s="6"/>
    </row>
    <row r="190">
      <c r="A190" s="20"/>
      <c r="B190" s="13"/>
      <c r="C190" s="13"/>
      <c r="D190" s="15"/>
      <c r="E190" s="16"/>
      <c r="F190" s="16"/>
      <c r="G190" s="16"/>
      <c r="H190" s="16"/>
      <c r="I190" s="16"/>
      <c r="J190" s="18"/>
      <c r="K190" s="13"/>
      <c r="L190" s="5"/>
      <c r="O190" s="6"/>
      <c r="Q190" s="6"/>
    </row>
    <row r="191">
      <c r="A191" s="20"/>
      <c r="B191" s="13"/>
      <c r="C191" s="13"/>
      <c r="D191" s="15"/>
      <c r="E191" s="16"/>
      <c r="F191" s="16"/>
      <c r="G191" s="16"/>
      <c r="H191" s="51" t="s">
        <v>23</v>
      </c>
      <c r="I191" s="24"/>
      <c r="J191" s="25">
        <f>J188-J177</f>
        <v>16525.95169</v>
      </c>
      <c r="K191" s="13"/>
      <c r="L191" s="5"/>
      <c r="O191" s="6"/>
      <c r="Q191" s="6"/>
    </row>
    <row r="192">
      <c r="A192" s="20"/>
      <c r="B192" s="13"/>
      <c r="C192" s="13"/>
      <c r="D192" s="15"/>
      <c r="E192" s="16"/>
      <c r="F192" s="16"/>
      <c r="G192" s="16"/>
      <c r="H192" s="16"/>
      <c r="I192" s="16"/>
      <c r="J192" s="18"/>
      <c r="K192" s="13"/>
      <c r="L192" s="5"/>
      <c r="O192" s="6"/>
      <c r="Q192" s="6"/>
    </row>
    <row r="193">
      <c r="A193" s="20"/>
      <c r="B193" s="13"/>
      <c r="C193" s="55" t="s">
        <v>22</v>
      </c>
      <c r="D193" s="15">
        <f>D177-D188</f>
        <v>0</v>
      </c>
      <c r="E193" s="16"/>
      <c r="F193" s="16"/>
      <c r="G193" s="16"/>
      <c r="H193" s="56" t="s">
        <v>24</v>
      </c>
      <c r="I193" s="24"/>
      <c r="J193" s="18" t="str">
        <f>J191/D193</f>
        <v>#DIV/0!</v>
      </c>
      <c r="K193" s="13"/>
      <c r="L193" s="5"/>
      <c r="O193" s="6"/>
      <c r="Q193" s="6"/>
    </row>
    <row r="194">
      <c r="A194" s="20"/>
      <c r="B194" s="13"/>
      <c r="C194" s="13"/>
      <c r="D194" s="15"/>
      <c r="E194" s="16"/>
      <c r="F194" s="16"/>
      <c r="G194" s="16"/>
      <c r="H194" s="57" t="s">
        <v>25</v>
      </c>
      <c r="I194" s="24"/>
      <c r="J194" s="18">
        <f>J191/D188</f>
        <v>148.8824477</v>
      </c>
      <c r="K194" s="13"/>
      <c r="L194" s="5"/>
      <c r="O194" s="6"/>
      <c r="Q194" s="6"/>
    </row>
    <row r="195">
      <c r="A195" s="20"/>
      <c r="B195" s="13"/>
      <c r="C195" s="13"/>
      <c r="D195" s="15"/>
      <c r="E195" s="16"/>
      <c r="F195" s="16"/>
      <c r="G195" s="16"/>
      <c r="H195" s="58"/>
      <c r="I195" s="58"/>
      <c r="J195" s="18"/>
      <c r="K195" s="13"/>
      <c r="L195" s="5"/>
      <c r="O195" s="6"/>
      <c r="Q195" s="6"/>
    </row>
    <row r="196">
      <c r="A196" s="20"/>
      <c r="B196" s="13"/>
      <c r="C196" s="13"/>
      <c r="D196" s="15"/>
      <c r="E196" s="16"/>
      <c r="F196" s="65"/>
      <c r="G196" s="66"/>
      <c r="H196" s="66"/>
      <c r="I196" s="67"/>
      <c r="J196" s="68"/>
      <c r="K196" s="13"/>
      <c r="L196" s="5"/>
      <c r="O196" s="6"/>
      <c r="Q196" s="6"/>
    </row>
    <row r="197">
      <c r="A197" s="20"/>
      <c r="B197" s="13"/>
      <c r="C197" s="13"/>
      <c r="D197" s="15"/>
      <c r="E197" s="16"/>
      <c r="F197" s="69"/>
      <c r="G197" s="66"/>
      <c r="H197" s="66"/>
      <c r="I197" s="67"/>
      <c r="J197" s="68"/>
      <c r="K197" s="13"/>
      <c r="L197" s="5"/>
      <c r="O197" s="6"/>
      <c r="Q197" s="6"/>
    </row>
    <row r="198">
      <c r="A198" s="20"/>
      <c r="B198" s="13"/>
      <c r="C198" s="13"/>
      <c r="D198" s="15"/>
      <c r="E198" s="16"/>
      <c r="F198" s="70"/>
      <c r="G198" s="70"/>
      <c r="H198" s="51" t="s">
        <v>36</v>
      </c>
      <c r="I198" s="24"/>
      <c r="J198" s="25">
        <f>J191+J196+J197</f>
        <v>16525.95169</v>
      </c>
      <c r="K198" s="13"/>
      <c r="L198" s="5"/>
      <c r="O198" s="6"/>
      <c r="Q198" s="6"/>
    </row>
    <row r="199">
      <c r="A199" s="20"/>
      <c r="B199" s="13"/>
      <c r="C199" s="58" t="str">
        <f>IFERROR("Não sobrou",CONCATENATE("Parceria Mauro -&gt; Sobrou ",#REF!," cabeças, custando: ",TEXT(#REF!, "R$#,##")))</f>
        <v>Não sobrou</v>
      </c>
      <c r="J199" s="29"/>
      <c r="K199" s="13"/>
      <c r="L199" s="5"/>
      <c r="O199" s="6"/>
      <c r="Q199" s="6"/>
    </row>
    <row r="200">
      <c r="A200" s="20"/>
      <c r="B200" s="13"/>
      <c r="C200" s="58"/>
      <c r="D200" s="58"/>
      <c r="E200" s="58"/>
      <c r="F200" s="58"/>
      <c r="G200" s="58"/>
      <c r="H200" s="58"/>
      <c r="I200" s="58"/>
      <c r="J200" s="76"/>
      <c r="K200" s="13"/>
      <c r="L200" s="5"/>
      <c r="O200" s="6"/>
      <c r="Q200" s="6"/>
    </row>
    <row r="201">
      <c r="A201" s="59"/>
      <c r="B201" s="60"/>
      <c r="C201" s="61" t="str">
        <f>IF(J198&gt;0,CONCATENATE("Total de Lucro Parceria -&gt;: ",TEXT(J198, "R$#.##0,00")),"Não houve lucro")</f>
        <v>Total de Lucro Parceria -&gt;: R$16.525,95169</v>
      </c>
      <c r="D201" s="62"/>
      <c r="E201" s="62"/>
      <c r="F201" s="62"/>
      <c r="G201" s="62"/>
      <c r="H201" s="62"/>
      <c r="I201" s="62"/>
      <c r="J201" s="63"/>
      <c r="K201" s="13"/>
      <c r="L201" s="5"/>
      <c r="O201" s="6"/>
      <c r="Q201" s="6"/>
    </row>
    <row r="202">
      <c r="A202" s="13"/>
      <c r="B202" s="13"/>
      <c r="C202" s="61" t="str">
        <f>IF(J198&gt;0,CONCATENATE("50% -&gt;: ",TEXT((J198/2), "R$#.##0,00")),"Não houve lucro")</f>
        <v>50% -&gt;: R$8.262,97585</v>
      </c>
      <c r="D202" s="62"/>
      <c r="E202" s="62"/>
      <c r="F202" s="62"/>
      <c r="G202" s="62"/>
      <c r="H202" s="62"/>
      <c r="I202" s="62"/>
      <c r="J202" s="63"/>
      <c r="K202" s="13"/>
      <c r="L202" s="5"/>
      <c r="O202" s="6"/>
      <c r="Q202" s="6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5"/>
      <c r="O203" s="6"/>
      <c r="Q203" s="6"/>
    </row>
    <row r="204">
      <c r="A204" s="1" t="s">
        <v>60</v>
      </c>
      <c r="B204" s="2"/>
      <c r="C204" s="2"/>
      <c r="D204" s="2"/>
      <c r="E204" s="2"/>
      <c r="F204" s="2"/>
      <c r="G204" s="2"/>
      <c r="H204" s="2"/>
      <c r="I204" s="2"/>
      <c r="J204" s="3"/>
      <c r="K204" s="13"/>
      <c r="L204" s="5"/>
      <c r="O204" s="6"/>
      <c r="Q204" s="6"/>
    </row>
    <row r="205">
      <c r="A205" s="7" t="s">
        <v>1</v>
      </c>
      <c r="B205" s="8" t="s">
        <v>2</v>
      </c>
      <c r="C205" s="8" t="s">
        <v>3</v>
      </c>
      <c r="D205" s="9" t="s">
        <v>4</v>
      </c>
      <c r="E205" s="10" t="s">
        <v>5</v>
      </c>
      <c r="F205" s="10" t="s">
        <v>6</v>
      </c>
      <c r="G205" s="10" t="s">
        <v>7</v>
      </c>
      <c r="H205" s="10" t="s">
        <v>8</v>
      </c>
      <c r="I205" s="10" t="s">
        <v>9</v>
      </c>
      <c r="J205" s="11" t="s">
        <v>10</v>
      </c>
      <c r="K205" s="13"/>
      <c r="L205" s="5"/>
      <c r="O205" s="6"/>
      <c r="Q205" s="6"/>
    </row>
    <row r="206">
      <c r="A206" s="12">
        <v>46143.0</v>
      </c>
      <c r="B206" s="13" t="s">
        <v>11</v>
      </c>
      <c r="C206" s="14" t="s">
        <v>58</v>
      </c>
      <c r="D206" s="15">
        <v>21.0</v>
      </c>
      <c r="E206" s="16">
        <f>2100+11.86440678</f>
        <v>2111.864407</v>
      </c>
      <c r="F206" s="16">
        <f>D206*E206</f>
        <v>44349.15254</v>
      </c>
      <c r="G206" s="6">
        <f>(4998/59)*D206</f>
        <v>1778.949153</v>
      </c>
      <c r="H206" s="16">
        <f>21*15</f>
        <v>315</v>
      </c>
      <c r="I206" s="16"/>
      <c r="J206" s="18">
        <f>F206+G206+H206+I206</f>
        <v>46443.10169</v>
      </c>
      <c r="K206" s="13"/>
      <c r="L206" s="5"/>
      <c r="O206" s="6"/>
      <c r="Q206" s="6"/>
    </row>
    <row r="207">
      <c r="A207" s="12"/>
      <c r="B207" s="13"/>
      <c r="C207" s="14"/>
      <c r="D207" s="15"/>
      <c r="E207" s="16"/>
      <c r="F207" s="16"/>
      <c r="G207" s="6"/>
      <c r="H207" s="16"/>
      <c r="I207" s="16"/>
      <c r="J207" s="18"/>
      <c r="K207" s="13"/>
      <c r="L207" s="5"/>
      <c r="O207" s="6"/>
      <c r="Q207" s="6"/>
    </row>
    <row r="208">
      <c r="A208" s="12"/>
      <c r="B208" s="13"/>
      <c r="C208" s="13"/>
      <c r="D208" s="15"/>
      <c r="E208" s="19"/>
      <c r="F208" s="16"/>
      <c r="G208" s="16"/>
      <c r="H208" s="16"/>
      <c r="I208" s="16"/>
      <c r="J208" s="18"/>
      <c r="K208" s="13"/>
      <c r="L208" s="5"/>
      <c r="O208" s="6"/>
      <c r="Q208" s="6"/>
    </row>
    <row r="209">
      <c r="A209" s="20"/>
      <c r="B209" s="13"/>
      <c r="C209" s="21" t="s">
        <v>14</v>
      </c>
      <c r="D209" s="22">
        <f>SUM(D206:D207)</f>
        <v>21</v>
      </c>
      <c r="E209" s="16"/>
      <c r="F209" s="16"/>
      <c r="G209" s="16"/>
      <c r="H209" s="23" t="s">
        <v>15</v>
      </c>
      <c r="I209" s="24"/>
      <c r="J209" s="77">
        <f>SUM(J206:J207)</f>
        <v>46443.10169</v>
      </c>
      <c r="K209" s="13"/>
      <c r="L209" s="5"/>
      <c r="O209" s="6"/>
      <c r="Q209" s="6"/>
    </row>
    <row r="210">
      <c r="A210" s="20"/>
      <c r="B210" s="13"/>
      <c r="C210" s="13"/>
      <c r="D210" s="15"/>
      <c r="E210" s="16"/>
      <c r="F210" s="16"/>
      <c r="G210" s="16"/>
      <c r="H210" s="23" t="s">
        <v>16</v>
      </c>
      <c r="I210" s="24"/>
      <c r="J210" s="26">
        <f>J209/D209</f>
        <v>2211.576271</v>
      </c>
      <c r="K210" s="13"/>
      <c r="L210" s="5"/>
      <c r="O210" s="6"/>
      <c r="Q210" s="6"/>
    </row>
    <row r="211">
      <c r="A211" s="20"/>
      <c r="B211" s="13"/>
      <c r="C211" s="13"/>
      <c r="D211" s="15"/>
      <c r="E211" s="16"/>
      <c r="F211" s="16"/>
      <c r="G211" s="16"/>
      <c r="H211" s="16"/>
      <c r="I211" s="16"/>
      <c r="J211" s="18"/>
      <c r="K211" s="13"/>
      <c r="L211" s="5"/>
      <c r="O211" s="6"/>
      <c r="Q211" s="6"/>
    </row>
    <row r="212">
      <c r="A212" s="20"/>
      <c r="B212" s="13"/>
      <c r="C212" s="13"/>
      <c r="D212" s="15"/>
      <c r="E212" s="16"/>
      <c r="F212" s="16"/>
      <c r="G212" s="16"/>
      <c r="H212" s="16"/>
      <c r="I212" s="16"/>
      <c r="J212" s="18"/>
      <c r="K212" s="13"/>
      <c r="L212" s="5"/>
      <c r="O212" s="6"/>
      <c r="Q212" s="6"/>
    </row>
    <row r="213">
      <c r="A213" s="20"/>
      <c r="B213" s="13"/>
      <c r="C213" s="13"/>
      <c r="D213" s="15"/>
      <c r="E213" s="16"/>
      <c r="F213" s="16"/>
      <c r="G213" s="16"/>
      <c r="H213" s="28" t="str">
        <f>CONCATENATE("Temos ",D209," cabeças, custando: ",TEXT(J210, "R$#,##"))</f>
        <v>Temos 21 cabeças, custando: R$2.212</v>
      </c>
      <c r="J213" s="29"/>
      <c r="K213" s="13"/>
      <c r="L213" s="5"/>
      <c r="O213" s="6"/>
      <c r="Q213" s="6"/>
    </row>
    <row r="214">
      <c r="A214" s="30" t="s">
        <v>1</v>
      </c>
      <c r="B214" s="31" t="s">
        <v>2</v>
      </c>
      <c r="C214" s="31" t="s">
        <v>3</v>
      </c>
      <c r="D214" s="32" t="s">
        <v>4</v>
      </c>
      <c r="E214" s="33" t="s">
        <v>5</v>
      </c>
      <c r="F214" s="33" t="s">
        <v>6</v>
      </c>
      <c r="G214" s="33" t="s">
        <v>7</v>
      </c>
      <c r="H214" s="33" t="s">
        <v>8</v>
      </c>
      <c r="I214" s="33" t="s">
        <v>17</v>
      </c>
      <c r="J214" s="34" t="s">
        <v>10</v>
      </c>
      <c r="K214" s="13"/>
      <c r="L214" s="5"/>
      <c r="O214" s="6"/>
      <c r="Q214" s="6"/>
    </row>
    <row r="215">
      <c r="A215" s="12">
        <v>46143.0</v>
      </c>
      <c r="B215" s="13" t="s">
        <v>38</v>
      </c>
      <c r="C215" s="13" t="s">
        <v>61</v>
      </c>
      <c r="D215" s="35">
        <v>21.0</v>
      </c>
      <c r="E215" s="36">
        <v>2350.0</v>
      </c>
      <c r="F215" s="16">
        <f t="shared" ref="F215:F218" si="33">D215*E215</f>
        <v>49350</v>
      </c>
      <c r="G215" s="36"/>
      <c r="H215" s="36"/>
      <c r="I215" s="37">
        <f>-4.85*D215</f>
        <v>-101.85</v>
      </c>
      <c r="J215" s="18">
        <f t="shared" ref="J215:J218" si="34">F215+G215+H215+I215</f>
        <v>49248.15</v>
      </c>
      <c r="K215" s="13"/>
      <c r="L215" s="5"/>
      <c r="O215" s="6"/>
      <c r="Q215" s="6"/>
    </row>
    <row r="216">
      <c r="A216" s="12"/>
      <c r="B216" s="13"/>
      <c r="C216" s="13"/>
      <c r="D216" s="35"/>
      <c r="E216" s="36"/>
      <c r="F216" s="16">
        <f t="shared" si="33"/>
        <v>0</v>
      </c>
      <c r="G216" s="36"/>
      <c r="H216" s="36"/>
      <c r="I216" s="37"/>
      <c r="J216" s="18">
        <f t="shared" si="34"/>
        <v>0</v>
      </c>
      <c r="K216" s="13"/>
      <c r="L216" s="5"/>
      <c r="O216" s="6"/>
      <c r="Q216" s="6"/>
    </row>
    <row r="217">
      <c r="A217" s="39"/>
      <c r="B217" s="40"/>
      <c r="C217" s="40"/>
      <c r="D217" s="41"/>
      <c r="E217" s="42"/>
      <c r="F217" s="43">
        <f t="shared" si="33"/>
        <v>0</v>
      </c>
      <c r="G217" s="42"/>
      <c r="H217" s="42"/>
      <c r="I217" s="44"/>
      <c r="J217" s="45">
        <f t="shared" si="34"/>
        <v>0</v>
      </c>
      <c r="K217" s="13"/>
      <c r="L217" s="5"/>
      <c r="O217" s="6"/>
      <c r="Q217" s="6"/>
    </row>
    <row r="218">
      <c r="A218" s="39"/>
      <c r="B218" s="40"/>
      <c r="C218" s="40"/>
      <c r="D218" s="41"/>
      <c r="E218" s="42"/>
      <c r="F218" s="16">
        <f t="shared" si="33"/>
        <v>0</v>
      </c>
      <c r="G218" s="42"/>
      <c r="H218" s="42"/>
      <c r="I218" s="44"/>
      <c r="J218" s="45">
        <f t="shared" si="34"/>
        <v>0</v>
      </c>
      <c r="K218" s="13"/>
      <c r="L218" s="5"/>
      <c r="O218" s="6"/>
      <c r="Q218" s="6"/>
    </row>
    <row r="219">
      <c r="A219" s="12"/>
      <c r="B219" s="13"/>
      <c r="C219" s="13"/>
      <c r="D219" s="15"/>
      <c r="E219" s="16"/>
      <c r="F219" s="16"/>
      <c r="G219" s="16"/>
      <c r="H219" s="16"/>
      <c r="I219" s="16"/>
      <c r="J219" s="18"/>
      <c r="K219" s="13"/>
      <c r="L219" s="5"/>
      <c r="O219" s="6"/>
      <c r="Q219" s="6"/>
    </row>
    <row r="220">
      <c r="A220" s="20"/>
      <c r="B220" s="13"/>
      <c r="C220" s="50" t="s">
        <v>14</v>
      </c>
      <c r="D220" s="22">
        <f>SUM(D215:D219)</f>
        <v>21</v>
      </c>
      <c r="E220" s="16"/>
      <c r="F220" s="16"/>
      <c r="G220" s="16"/>
      <c r="H220" s="51" t="s">
        <v>10</v>
      </c>
      <c r="I220" s="24"/>
      <c r="J220" s="25">
        <f>SUM(J215:J219)</f>
        <v>49248.15</v>
      </c>
      <c r="K220" s="13"/>
      <c r="L220" s="5"/>
      <c r="O220" s="6"/>
      <c r="Q220" s="6"/>
    </row>
    <row r="221">
      <c r="A221" s="20"/>
      <c r="B221" s="13"/>
      <c r="C221" s="13"/>
      <c r="D221" s="15"/>
      <c r="E221" s="16"/>
      <c r="F221" s="16"/>
      <c r="G221" s="16"/>
      <c r="H221" s="51" t="s">
        <v>16</v>
      </c>
      <c r="I221" s="24"/>
      <c r="J221" s="26">
        <f>J220/D220</f>
        <v>2345.15</v>
      </c>
      <c r="K221" s="13"/>
      <c r="L221" s="5"/>
      <c r="O221" s="6"/>
      <c r="Q221" s="6"/>
    </row>
    <row r="222">
      <c r="A222" s="20"/>
      <c r="B222" s="13"/>
      <c r="C222" s="13"/>
      <c r="D222" s="15"/>
      <c r="E222" s="16"/>
      <c r="F222" s="16"/>
      <c r="G222" s="16"/>
      <c r="H222" s="16"/>
      <c r="I222" s="16"/>
      <c r="J222" s="18"/>
      <c r="K222" s="13"/>
      <c r="L222" s="5"/>
      <c r="O222" s="6"/>
      <c r="Q222" s="6"/>
    </row>
    <row r="223">
      <c r="A223" s="20"/>
      <c r="B223" s="13"/>
      <c r="C223" s="13"/>
      <c r="D223" s="15"/>
      <c r="E223" s="16"/>
      <c r="F223" s="16"/>
      <c r="G223" s="16"/>
      <c r="H223" s="51" t="s">
        <v>23</v>
      </c>
      <c r="I223" s="24"/>
      <c r="J223" s="25">
        <f>J220-J209</f>
        <v>2805.048305</v>
      </c>
      <c r="K223" s="13"/>
      <c r="L223" s="5"/>
      <c r="O223" s="6"/>
      <c r="Q223" s="6"/>
    </row>
    <row r="224">
      <c r="A224" s="20"/>
      <c r="B224" s="13"/>
      <c r="C224" s="13"/>
      <c r="D224" s="15"/>
      <c r="E224" s="16"/>
      <c r="F224" s="16"/>
      <c r="G224" s="16"/>
      <c r="H224" s="16"/>
      <c r="I224" s="16"/>
      <c r="J224" s="18"/>
      <c r="K224" s="13"/>
      <c r="L224" s="5"/>
      <c r="O224" s="6"/>
      <c r="Q224" s="6"/>
    </row>
    <row r="225">
      <c r="A225" s="20"/>
      <c r="B225" s="13"/>
      <c r="C225" s="55" t="s">
        <v>22</v>
      </c>
      <c r="D225" s="15">
        <f>D209-D220</f>
        <v>0</v>
      </c>
      <c r="E225" s="16"/>
      <c r="F225" s="16"/>
      <c r="G225" s="16"/>
      <c r="H225" s="56" t="s">
        <v>24</v>
      </c>
      <c r="I225" s="24"/>
      <c r="J225" s="18" t="str">
        <f>J223/D225</f>
        <v>#DIV/0!</v>
      </c>
      <c r="K225" s="13"/>
      <c r="L225" s="5"/>
      <c r="O225" s="6"/>
      <c r="Q225" s="6"/>
    </row>
    <row r="226">
      <c r="A226" s="20"/>
      <c r="B226" s="13"/>
      <c r="C226" s="13"/>
      <c r="D226" s="15"/>
      <c r="E226" s="16"/>
      <c r="F226" s="16"/>
      <c r="G226" s="16"/>
      <c r="H226" s="57" t="s">
        <v>25</v>
      </c>
      <c r="I226" s="24"/>
      <c r="J226" s="18">
        <f>J223/D220</f>
        <v>133.5737288</v>
      </c>
      <c r="K226" s="13"/>
      <c r="L226" s="5"/>
      <c r="O226" s="6"/>
      <c r="Q226" s="6"/>
    </row>
    <row r="227">
      <c r="A227" s="20"/>
      <c r="B227" s="13"/>
      <c r="C227" s="13"/>
      <c r="D227" s="15"/>
      <c r="E227" s="16"/>
      <c r="F227" s="16"/>
      <c r="G227" s="16"/>
      <c r="H227" s="58"/>
      <c r="I227" s="58"/>
      <c r="J227" s="18"/>
      <c r="K227" s="13"/>
      <c r="L227" s="5"/>
      <c r="O227" s="6"/>
      <c r="Q227" s="6"/>
    </row>
    <row r="228">
      <c r="A228" s="20"/>
      <c r="B228" s="13"/>
      <c r="C228" s="13"/>
      <c r="D228" s="15"/>
      <c r="E228" s="16"/>
      <c r="F228" s="65" t="s">
        <v>62</v>
      </c>
      <c r="G228" s="66"/>
      <c r="H228" s="66"/>
      <c r="I228" s="67"/>
      <c r="J228" s="68">
        <v>-2000.0</v>
      </c>
      <c r="K228" s="13"/>
      <c r="L228" s="5"/>
      <c r="O228" s="6"/>
      <c r="Q228" s="6"/>
    </row>
    <row r="229">
      <c r="A229" s="20"/>
      <c r="B229" s="13"/>
      <c r="C229" s="13"/>
      <c r="D229" s="15"/>
      <c r="E229" s="16"/>
      <c r="F229" s="69"/>
      <c r="G229" s="66"/>
      <c r="H229" s="66"/>
      <c r="I229" s="67"/>
      <c r="J229" s="68"/>
      <c r="K229" s="13"/>
      <c r="L229" s="5"/>
      <c r="O229" s="6"/>
      <c r="Q229" s="6"/>
    </row>
    <row r="230">
      <c r="A230" s="20"/>
      <c r="B230" s="13"/>
      <c r="C230" s="13"/>
      <c r="D230" s="15"/>
      <c r="E230" s="16"/>
      <c r="F230" s="70"/>
      <c r="G230" s="70"/>
      <c r="H230" s="51" t="s">
        <v>36</v>
      </c>
      <c r="I230" s="24"/>
      <c r="J230" s="25">
        <f>J223+J228+J229</f>
        <v>805.0483051</v>
      </c>
      <c r="K230" s="13"/>
      <c r="L230" s="5"/>
      <c r="O230" s="6"/>
      <c r="Q230" s="6"/>
    </row>
    <row r="231">
      <c r="A231" s="20"/>
      <c r="B231" s="13"/>
      <c r="C231" s="58" t="str">
        <f>IFERROR("Não sobrou",CONCATENATE("Parceria Mauro -&gt; Sobrou ",#REF!," cabeças, custando: ",TEXT(#REF!, "R$#,##")))</f>
        <v>Não sobrou</v>
      </c>
      <c r="J231" s="29"/>
      <c r="K231" s="13"/>
      <c r="L231" s="5"/>
      <c r="O231" s="6"/>
      <c r="Q231" s="6"/>
    </row>
    <row r="232">
      <c r="A232" s="20"/>
      <c r="B232" s="13"/>
      <c r="C232" s="58"/>
      <c r="D232" s="58"/>
      <c r="E232" s="58"/>
      <c r="F232" s="58"/>
      <c r="G232" s="58"/>
      <c r="H232" s="58"/>
      <c r="I232" s="58"/>
      <c r="J232" s="76"/>
      <c r="K232" s="13"/>
      <c r="L232" s="5"/>
      <c r="O232" s="6"/>
      <c r="Q232" s="6"/>
    </row>
    <row r="233">
      <c r="A233" s="59"/>
      <c r="B233" s="60"/>
      <c r="C233" s="61" t="str">
        <f>IF(J230&gt;0,CONCATENATE("Total de Lucro Parceria -&gt;: ",TEXT(J230, "R$#.##0,00")),"Não houve lucro")</f>
        <v>Total de Lucro Parceria -&gt;: R$805,04831</v>
      </c>
      <c r="D233" s="62"/>
      <c r="E233" s="62"/>
      <c r="F233" s="62"/>
      <c r="G233" s="62"/>
      <c r="H233" s="62"/>
      <c r="I233" s="62"/>
      <c r="J233" s="63"/>
      <c r="K233" s="13"/>
      <c r="L233" s="5"/>
      <c r="O233" s="6"/>
      <c r="Q233" s="6"/>
    </row>
    <row r="234">
      <c r="A234" s="13"/>
      <c r="B234" s="13"/>
      <c r="C234" s="61" t="str">
        <f>IF(J230&gt;0,CONCATENATE("50% -&gt;: ",TEXT((J230/2), "R$#.##0,00")),"Não houve lucro")</f>
        <v>50% -&gt;: R$402,52415</v>
      </c>
      <c r="D234" s="62"/>
      <c r="E234" s="62"/>
      <c r="F234" s="62"/>
      <c r="G234" s="62"/>
      <c r="H234" s="62"/>
      <c r="I234" s="62"/>
      <c r="J234" s="63"/>
      <c r="K234" s="13"/>
      <c r="L234" s="5"/>
      <c r="O234" s="6"/>
      <c r="Q234" s="6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5"/>
      <c r="O235" s="6"/>
      <c r="Q235" s="6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5"/>
      <c r="O236" s="6"/>
      <c r="Q236" s="6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5"/>
      <c r="O237" s="6"/>
      <c r="Q237" s="6"/>
    </row>
    <row r="238">
      <c r="A238" s="1" t="s">
        <v>63</v>
      </c>
      <c r="B238" s="2"/>
      <c r="C238" s="2"/>
      <c r="D238" s="2"/>
      <c r="E238" s="2"/>
      <c r="F238" s="2"/>
      <c r="G238" s="2"/>
      <c r="H238" s="2"/>
      <c r="I238" s="2"/>
      <c r="J238" s="3"/>
      <c r="K238" s="13"/>
      <c r="L238" s="5"/>
      <c r="M238" s="49" t="s">
        <v>52</v>
      </c>
      <c r="O238" s="64">
        <v>597.25</v>
      </c>
      <c r="Q238" s="6"/>
    </row>
    <row r="239">
      <c r="A239" s="7" t="s">
        <v>1</v>
      </c>
      <c r="B239" s="8" t="s">
        <v>2</v>
      </c>
      <c r="C239" s="8" t="s">
        <v>3</v>
      </c>
      <c r="D239" s="9" t="s">
        <v>4</v>
      </c>
      <c r="E239" s="10" t="s">
        <v>5</v>
      </c>
      <c r="F239" s="10" t="s">
        <v>6</v>
      </c>
      <c r="G239" s="10" t="s">
        <v>7</v>
      </c>
      <c r="H239" s="10" t="s">
        <v>8</v>
      </c>
      <c r="I239" s="10" t="s">
        <v>9</v>
      </c>
      <c r="J239" s="11" t="s">
        <v>10</v>
      </c>
      <c r="K239" s="13"/>
      <c r="L239" s="5"/>
      <c r="M239" s="49" t="s">
        <v>53</v>
      </c>
      <c r="O239" s="64">
        <v>16525.951694902382</v>
      </c>
      <c r="Q239" s="6"/>
    </row>
    <row r="240">
      <c r="A240" s="12"/>
      <c r="B240" s="13" t="s">
        <v>11</v>
      </c>
      <c r="C240" s="14" t="s">
        <v>22</v>
      </c>
      <c r="D240" s="35">
        <v>12.0</v>
      </c>
      <c r="E240" s="36">
        <v>2900.0</v>
      </c>
      <c r="F240" s="16">
        <f t="shared" ref="F240:F243" si="35">D240*E240</f>
        <v>34800</v>
      </c>
      <c r="G240" s="6"/>
      <c r="H240" s="16"/>
      <c r="I240" s="16"/>
      <c r="J240" s="18">
        <f t="shared" ref="J240:J243" si="36">F240+G240+H240+I240</f>
        <v>34800</v>
      </c>
      <c r="K240" s="13"/>
      <c r="L240" s="5"/>
      <c r="M240" s="49" t="s">
        <v>54</v>
      </c>
      <c r="O240" s="64">
        <v>9706.75</v>
      </c>
      <c r="Q240" s="6"/>
    </row>
    <row r="241">
      <c r="A241" s="12"/>
      <c r="B241" s="13" t="s">
        <v>11</v>
      </c>
      <c r="C241" s="14" t="s">
        <v>64</v>
      </c>
      <c r="D241" s="15">
        <v>48.0</v>
      </c>
      <c r="E241" s="16">
        <v>3050.0</v>
      </c>
      <c r="F241" s="16">
        <f t="shared" si="35"/>
        <v>146400</v>
      </c>
      <c r="G241" s="6">
        <f t="shared" ref="G241:G242" si="37">(6463/102)*D241</f>
        <v>3041.411765</v>
      </c>
      <c r="H241" s="16"/>
      <c r="I241" s="16"/>
      <c r="J241" s="18">
        <f t="shared" si="36"/>
        <v>149441.4118</v>
      </c>
      <c r="K241" s="13"/>
      <c r="L241" s="5"/>
      <c r="M241" s="49" t="s">
        <v>56</v>
      </c>
      <c r="O241" s="64">
        <v>805.04830507762</v>
      </c>
      <c r="Q241" s="6"/>
    </row>
    <row r="242">
      <c r="A242" s="12"/>
      <c r="B242" s="13" t="s">
        <v>11</v>
      </c>
      <c r="C242" s="14" t="s">
        <v>65</v>
      </c>
      <c r="D242" s="15">
        <v>54.0</v>
      </c>
      <c r="E242" s="16">
        <v>2900.0</v>
      </c>
      <c r="F242" s="16">
        <f t="shared" si="35"/>
        <v>156600</v>
      </c>
      <c r="G242" s="6">
        <f t="shared" si="37"/>
        <v>3421.588235</v>
      </c>
      <c r="H242" s="16">
        <v>500.0</v>
      </c>
      <c r="I242" s="16"/>
      <c r="J242" s="18">
        <f t="shared" si="36"/>
        <v>160521.5882</v>
      </c>
      <c r="K242" s="13"/>
      <c r="L242" s="5"/>
      <c r="O242" s="73">
        <f>SUM(O238:O241)</f>
        <v>27635</v>
      </c>
      <c r="Q242" s="6"/>
    </row>
    <row r="243">
      <c r="A243" s="12"/>
      <c r="B243" s="13"/>
      <c r="C243" s="14"/>
      <c r="D243" s="15"/>
      <c r="E243" s="16"/>
      <c r="F243" s="16">
        <f t="shared" si="35"/>
        <v>0</v>
      </c>
      <c r="G243" s="6"/>
      <c r="H243" s="16"/>
      <c r="I243" s="16"/>
      <c r="J243" s="18">
        <f t="shared" si="36"/>
        <v>0</v>
      </c>
      <c r="K243" s="13"/>
      <c r="L243" s="5"/>
      <c r="O243" s="6">
        <f>O242/2</f>
        <v>13817.5</v>
      </c>
      <c r="Q243" s="6"/>
    </row>
    <row r="244">
      <c r="A244" s="12"/>
      <c r="B244" s="13"/>
      <c r="C244" s="14"/>
      <c r="D244" s="15"/>
      <c r="E244" s="16"/>
      <c r="F244" s="16"/>
      <c r="G244" s="6"/>
      <c r="H244" s="16"/>
      <c r="I244" s="16"/>
      <c r="J244" s="18"/>
      <c r="K244" s="13"/>
      <c r="L244" s="5"/>
      <c r="O244" s="6"/>
      <c r="Q244" s="6"/>
    </row>
    <row r="245">
      <c r="A245" s="12"/>
      <c r="B245" s="13"/>
      <c r="C245" s="13"/>
      <c r="D245" s="15"/>
      <c r="E245" s="19"/>
      <c r="F245" s="16"/>
      <c r="G245" s="16"/>
      <c r="H245" s="16"/>
      <c r="I245" s="16"/>
      <c r="J245" s="18"/>
      <c r="K245" s="13"/>
      <c r="L245" s="5"/>
      <c r="O245" s="6"/>
      <c r="Q245" s="6"/>
    </row>
    <row r="246">
      <c r="A246" s="20"/>
      <c r="B246" s="13"/>
      <c r="C246" s="21" t="s">
        <v>14</v>
      </c>
      <c r="D246" s="22">
        <f>SUM(D240:D243)</f>
        <v>114</v>
      </c>
      <c r="E246" s="16"/>
      <c r="F246" s="16"/>
      <c r="G246" s="16"/>
      <c r="H246" s="23" t="s">
        <v>15</v>
      </c>
      <c r="I246" s="24"/>
      <c r="J246" s="25">
        <f>SUM(J240:J243)</f>
        <v>344763</v>
      </c>
      <c r="K246" s="13"/>
      <c r="L246" s="5"/>
      <c r="O246" s="6"/>
      <c r="Q246" s="6"/>
    </row>
    <row r="247">
      <c r="A247" s="20"/>
      <c r="B247" s="13"/>
      <c r="C247" s="13"/>
      <c r="D247" s="15"/>
      <c r="E247" s="16"/>
      <c r="F247" s="16"/>
      <c r="G247" s="16"/>
      <c r="H247" s="23" t="s">
        <v>16</v>
      </c>
      <c r="I247" s="24"/>
      <c r="J247" s="26">
        <f>J246/D246</f>
        <v>3024.236842</v>
      </c>
      <c r="K247" s="13"/>
      <c r="L247" s="5"/>
      <c r="O247" s="6"/>
      <c r="Q247" s="6"/>
    </row>
    <row r="248">
      <c r="A248" s="20"/>
      <c r="B248" s="13"/>
      <c r="C248" s="13"/>
      <c r="D248" s="15"/>
      <c r="E248" s="16"/>
      <c r="F248" s="16"/>
      <c r="G248" s="16"/>
      <c r="H248" s="16"/>
      <c r="I248" s="16"/>
      <c r="J248" s="18"/>
      <c r="K248" s="13"/>
      <c r="L248" s="5"/>
      <c r="O248" s="6"/>
      <c r="Q248" s="6"/>
    </row>
    <row r="249">
      <c r="A249" s="20"/>
      <c r="B249" s="13"/>
      <c r="C249" s="13"/>
      <c r="D249" s="15"/>
      <c r="E249" s="16"/>
      <c r="F249" s="16"/>
      <c r="G249" s="16"/>
      <c r="H249" s="16"/>
      <c r="I249" s="16"/>
      <c r="J249" s="18"/>
      <c r="K249" s="13"/>
      <c r="L249" s="5"/>
      <c r="O249" s="6"/>
      <c r="Q249" s="6"/>
    </row>
    <row r="250">
      <c r="A250" s="20"/>
      <c r="B250" s="13"/>
      <c r="C250" s="13"/>
      <c r="D250" s="15"/>
      <c r="E250" s="16"/>
      <c r="F250" s="16"/>
      <c r="G250" s="16"/>
      <c r="H250" s="28" t="str">
        <f>CONCATENATE("Temos ",D246," cabeças, custando: ",TEXT(J247, "R$#,##"))</f>
        <v>Temos 114 cabeças, custando: R$3.024</v>
      </c>
      <c r="J250" s="29"/>
      <c r="K250" s="13"/>
      <c r="L250" s="5"/>
      <c r="O250" s="6"/>
      <c r="Q250" s="6"/>
    </row>
    <row r="251">
      <c r="A251" s="30" t="s">
        <v>1</v>
      </c>
      <c r="B251" s="31" t="s">
        <v>2</v>
      </c>
      <c r="C251" s="31" t="s">
        <v>3</v>
      </c>
      <c r="D251" s="32" t="s">
        <v>4</v>
      </c>
      <c r="E251" s="33" t="s">
        <v>5</v>
      </c>
      <c r="F251" s="33" t="s">
        <v>6</v>
      </c>
      <c r="G251" s="33" t="s">
        <v>7</v>
      </c>
      <c r="H251" s="33" t="s">
        <v>8</v>
      </c>
      <c r="I251" s="33" t="s">
        <v>17</v>
      </c>
      <c r="J251" s="34" t="s">
        <v>10</v>
      </c>
      <c r="K251" s="13"/>
      <c r="L251" s="5"/>
      <c r="O251" s="6">
        <v>4147.0</v>
      </c>
      <c r="Q251" s="6"/>
    </row>
    <row r="252">
      <c r="A252" s="12"/>
      <c r="B252" s="13" t="s">
        <v>20</v>
      </c>
      <c r="C252" s="13" t="s">
        <v>30</v>
      </c>
      <c r="D252" s="35">
        <v>101.0</v>
      </c>
      <c r="E252" s="36">
        <v>3100.0</v>
      </c>
      <c r="F252" s="16">
        <f t="shared" ref="F252:F255" si="38">D252*E252</f>
        <v>313100</v>
      </c>
      <c r="G252" s="36"/>
      <c r="H252" s="36"/>
      <c r="I252" s="37">
        <f>-4.85*D252</f>
        <v>-489.85</v>
      </c>
      <c r="J252" s="18">
        <f t="shared" ref="J252:J255" si="39">F252+G252+H252+I252</f>
        <v>312610.15</v>
      </c>
      <c r="K252" s="13"/>
      <c r="L252" s="5"/>
      <c r="O252" s="6">
        <v>2316.0</v>
      </c>
      <c r="Q252" s="6">
        <v>68.0</v>
      </c>
    </row>
    <row r="253">
      <c r="A253" s="12"/>
      <c r="B253" s="13" t="s">
        <v>20</v>
      </c>
      <c r="C253" s="13"/>
      <c r="D253" s="13">
        <v>13.0</v>
      </c>
      <c r="E253" s="36">
        <v>2473.29615384615</v>
      </c>
      <c r="F253" s="16">
        <f t="shared" si="38"/>
        <v>32152.85</v>
      </c>
      <c r="G253" s="36"/>
      <c r="H253" s="36"/>
      <c r="I253" s="37"/>
      <c r="J253" s="18">
        <f t="shared" si="39"/>
        <v>32152.85</v>
      </c>
      <c r="K253" s="13"/>
      <c r="L253" s="5"/>
      <c r="O253" s="6">
        <f>O251+O252</f>
        <v>6463</v>
      </c>
      <c r="Q253" s="6">
        <v>34.0</v>
      </c>
    </row>
    <row r="254">
      <c r="A254" s="12"/>
      <c r="B254" s="13" t="s">
        <v>20</v>
      </c>
      <c r="C254" s="13"/>
      <c r="D254" s="41"/>
      <c r="E254" s="42"/>
      <c r="F254" s="43">
        <f t="shared" si="38"/>
        <v>0</v>
      </c>
      <c r="G254" s="42"/>
      <c r="H254" s="42"/>
      <c r="I254" s="44"/>
      <c r="J254" s="45">
        <f t="shared" si="39"/>
        <v>0</v>
      </c>
      <c r="K254" s="13"/>
      <c r="L254" s="5"/>
      <c r="O254" s="6"/>
      <c r="Q254" s="6"/>
    </row>
    <row r="255">
      <c r="A255" s="39"/>
      <c r="B255" s="40"/>
      <c r="C255" s="40"/>
      <c r="D255" s="41"/>
      <c r="E255" s="42"/>
      <c r="F255" s="16">
        <f t="shared" si="38"/>
        <v>0</v>
      </c>
      <c r="G255" s="42"/>
      <c r="H255" s="42"/>
      <c r="I255" s="44"/>
      <c r="J255" s="45">
        <f t="shared" si="39"/>
        <v>0</v>
      </c>
      <c r="K255" s="13"/>
      <c r="L255" s="5"/>
      <c r="O255" s="6"/>
      <c r="Q255" s="6"/>
    </row>
    <row r="256">
      <c r="A256" s="12"/>
      <c r="B256" s="13"/>
      <c r="C256" s="13"/>
      <c r="D256" s="15"/>
      <c r="E256" s="16"/>
      <c r="F256" s="16"/>
      <c r="G256" s="16"/>
      <c r="H256" s="16"/>
      <c r="I256" s="16"/>
      <c r="J256" s="18"/>
      <c r="K256" s="13"/>
      <c r="L256" s="5"/>
      <c r="O256" s="6"/>
      <c r="Q256" s="6"/>
    </row>
    <row r="257">
      <c r="A257" s="20"/>
      <c r="B257" s="13"/>
      <c r="C257" s="50" t="s">
        <v>14</v>
      </c>
      <c r="D257" s="22">
        <f>SUM(D252:D256)</f>
        <v>114</v>
      </c>
      <c r="E257" s="16"/>
      <c r="F257" s="16"/>
      <c r="G257" s="16"/>
      <c r="H257" s="51" t="s">
        <v>10</v>
      </c>
      <c r="I257" s="24"/>
      <c r="J257" s="25">
        <f>SUM(J252:J256)</f>
        <v>344763</v>
      </c>
      <c r="K257" s="13"/>
      <c r="L257" s="5"/>
      <c r="O257" s="6"/>
      <c r="Q257" s="6"/>
    </row>
    <row r="258">
      <c r="A258" s="20"/>
      <c r="B258" s="13"/>
      <c r="C258" s="13"/>
      <c r="D258" s="15"/>
      <c r="E258" s="16"/>
      <c r="F258" s="16"/>
      <c r="G258" s="16"/>
      <c r="H258" s="51" t="s">
        <v>16</v>
      </c>
      <c r="I258" s="24"/>
      <c r="J258" s="26">
        <f>J257/D257</f>
        <v>3024.236842</v>
      </c>
      <c r="K258" s="13"/>
      <c r="L258" s="5"/>
      <c r="O258" s="6"/>
      <c r="Q258" s="6"/>
    </row>
    <row r="259">
      <c r="A259" s="20"/>
      <c r="B259" s="13"/>
      <c r="C259" s="13"/>
      <c r="D259" s="15"/>
      <c r="E259" s="16"/>
      <c r="F259" s="16"/>
      <c r="G259" s="16"/>
      <c r="H259" s="16"/>
      <c r="I259" s="16"/>
      <c r="J259" s="18"/>
      <c r="K259" s="13"/>
      <c r="L259" s="5"/>
      <c r="O259" s="6"/>
      <c r="Q259" s="6"/>
    </row>
    <row r="260">
      <c r="A260" s="20"/>
      <c r="B260" s="13"/>
      <c r="C260" s="13"/>
      <c r="D260" s="15"/>
      <c r="E260" s="16"/>
      <c r="F260" s="16"/>
      <c r="G260" s="16"/>
      <c r="H260" s="51" t="s">
        <v>23</v>
      </c>
      <c r="I260" s="24"/>
      <c r="J260" s="25">
        <f>J257-J246</f>
        <v>0</v>
      </c>
      <c r="K260" s="13"/>
      <c r="L260" s="5"/>
      <c r="O260" s="6"/>
      <c r="Q260" s="6"/>
    </row>
    <row r="261">
      <c r="A261" s="20"/>
      <c r="B261" s="13"/>
      <c r="C261" s="13"/>
      <c r="D261" s="15"/>
      <c r="E261" s="16"/>
      <c r="F261" s="16"/>
      <c r="G261" s="16"/>
      <c r="H261" s="16"/>
      <c r="I261" s="16"/>
      <c r="J261" s="18"/>
      <c r="K261" s="13"/>
      <c r="L261" s="5"/>
      <c r="O261" s="6"/>
      <c r="Q261" s="6"/>
    </row>
    <row r="262">
      <c r="A262" s="20"/>
      <c r="B262" s="13"/>
      <c r="C262" s="55" t="s">
        <v>22</v>
      </c>
      <c r="D262" s="15">
        <f>D246-D257</f>
        <v>0</v>
      </c>
      <c r="E262" s="16"/>
      <c r="F262" s="16"/>
      <c r="G262" s="16"/>
      <c r="H262" s="56" t="s">
        <v>24</v>
      </c>
      <c r="I262" s="24"/>
      <c r="J262" s="18" t="str">
        <f>J260/D262</f>
        <v>#DIV/0!</v>
      </c>
      <c r="K262" s="13"/>
      <c r="L262" s="5"/>
      <c r="O262" s="6"/>
      <c r="Q262" s="6"/>
    </row>
    <row r="263">
      <c r="A263" s="20"/>
      <c r="B263" s="13"/>
      <c r="C263" s="13"/>
      <c r="D263" s="15"/>
      <c r="E263" s="16"/>
      <c r="F263" s="16"/>
      <c r="G263" s="16"/>
      <c r="H263" s="57" t="s">
        <v>25</v>
      </c>
      <c r="I263" s="24"/>
      <c r="J263" s="18">
        <f>J260/D257</f>
        <v>0</v>
      </c>
      <c r="K263" s="13"/>
      <c r="L263" s="5"/>
      <c r="O263" s="6"/>
      <c r="Q263" s="6"/>
    </row>
    <row r="264">
      <c r="A264" s="20"/>
      <c r="B264" s="13"/>
      <c r="C264" s="13"/>
      <c r="D264" s="15"/>
      <c r="E264" s="16"/>
      <c r="F264" s="16"/>
      <c r="G264" s="16"/>
      <c r="H264" s="58"/>
      <c r="I264" s="58"/>
      <c r="J264" s="18"/>
      <c r="K264" s="13"/>
      <c r="L264" s="5"/>
      <c r="O264" s="6"/>
      <c r="Q264" s="6"/>
    </row>
    <row r="265">
      <c r="A265" s="20"/>
      <c r="B265" s="13"/>
      <c r="C265" s="13"/>
      <c r="D265" s="15"/>
      <c r="E265" s="16"/>
      <c r="F265" s="65"/>
      <c r="G265" s="66"/>
      <c r="H265" s="66"/>
      <c r="I265" s="67"/>
      <c r="J265" s="68"/>
      <c r="K265" s="13"/>
      <c r="L265" s="5"/>
      <c r="O265" s="6"/>
      <c r="Q265" s="6"/>
    </row>
    <row r="266">
      <c r="A266" s="20"/>
      <c r="B266" s="13"/>
      <c r="C266" s="13"/>
      <c r="D266" s="15"/>
      <c r="E266" s="16"/>
      <c r="F266" s="69"/>
      <c r="G266" s="66"/>
      <c r="H266" s="66"/>
      <c r="I266" s="67"/>
      <c r="J266" s="68"/>
      <c r="K266" s="13"/>
      <c r="L266" s="5"/>
      <c r="O266" s="6"/>
      <c r="Q266" s="6"/>
    </row>
    <row r="267">
      <c r="A267" s="20"/>
      <c r="B267" s="13"/>
      <c r="C267" s="13"/>
      <c r="D267" s="15"/>
      <c r="E267" s="16"/>
      <c r="F267" s="70"/>
      <c r="G267" s="70"/>
      <c r="H267" s="51" t="s">
        <v>36</v>
      </c>
      <c r="I267" s="24"/>
      <c r="J267" s="25">
        <f>J260+J265+J266</f>
        <v>0</v>
      </c>
      <c r="K267" s="13"/>
      <c r="L267" s="5"/>
      <c r="O267" s="6"/>
      <c r="Q267" s="6"/>
    </row>
    <row r="268">
      <c r="A268" s="20"/>
      <c r="B268" s="13"/>
      <c r="C268" s="58" t="str">
        <f>IFERROR("Não sobrou",CONCATENATE("Parceria Mauro -&gt; Sobrou ",#REF!," cabeças, custando: ",TEXT(#REF!, "R$#,##")))</f>
        <v>Não sobrou</v>
      </c>
      <c r="J268" s="29"/>
      <c r="K268" s="13"/>
      <c r="L268" s="5"/>
      <c r="O268" s="6"/>
      <c r="Q268" s="6"/>
    </row>
    <row r="269">
      <c r="A269" s="20"/>
      <c r="B269" s="13"/>
      <c r="C269" s="58"/>
      <c r="D269" s="58"/>
      <c r="E269" s="58"/>
      <c r="F269" s="58"/>
      <c r="G269" s="58"/>
      <c r="H269" s="58"/>
      <c r="I269" s="58"/>
      <c r="J269" s="76"/>
      <c r="K269" s="13"/>
      <c r="L269" s="5"/>
      <c r="O269" s="6"/>
      <c r="Q269" s="6"/>
    </row>
    <row r="270">
      <c r="A270" s="59"/>
      <c r="B270" s="60"/>
      <c r="C270" s="61" t="str">
        <f>IF(J267&gt;0,CONCATENATE("Total de Lucro Parceria -&gt;: ",TEXT(J267, "R$#.##0,00")),"Não houve lucro")</f>
        <v>Não houve lucro</v>
      </c>
      <c r="D270" s="62"/>
      <c r="E270" s="62"/>
      <c r="F270" s="62"/>
      <c r="G270" s="62"/>
      <c r="H270" s="62"/>
      <c r="I270" s="62"/>
      <c r="J270" s="63"/>
      <c r="K270" s="13"/>
      <c r="L270" s="5"/>
      <c r="O270" s="6"/>
      <c r="Q270" s="6"/>
    </row>
    <row r="271">
      <c r="A271" s="13"/>
      <c r="B271" s="13"/>
      <c r="C271" s="61" t="str">
        <f>IF(J267&gt;0,CONCATENATE("50% -&gt;: ",TEXT((J267/2), "R$#.##0,00")),"Não houve lucro")</f>
        <v>Não houve lucro</v>
      </c>
      <c r="D271" s="62"/>
      <c r="E271" s="62"/>
      <c r="F271" s="62"/>
      <c r="G271" s="62"/>
      <c r="H271" s="62"/>
      <c r="I271" s="62"/>
      <c r="J271" s="63"/>
      <c r="K271" s="13"/>
      <c r="L271" s="5"/>
      <c r="O271" s="6"/>
      <c r="Q271" s="6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5"/>
      <c r="O272" s="6"/>
      <c r="Q272" s="6"/>
    </row>
    <row r="273">
      <c r="A273" s="1" t="s">
        <v>66</v>
      </c>
      <c r="B273" s="2"/>
      <c r="C273" s="2"/>
      <c r="D273" s="2"/>
      <c r="E273" s="2"/>
      <c r="F273" s="2"/>
      <c r="G273" s="2"/>
      <c r="H273" s="2"/>
      <c r="I273" s="2"/>
      <c r="J273" s="3"/>
      <c r="K273" s="13"/>
      <c r="L273" s="5"/>
      <c r="O273" s="64"/>
      <c r="Q273" s="6"/>
    </row>
    <row r="274">
      <c r="A274" s="7" t="s">
        <v>1</v>
      </c>
      <c r="B274" s="8" t="s">
        <v>2</v>
      </c>
      <c r="C274" s="8" t="s">
        <v>3</v>
      </c>
      <c r="D274" s="9" t="s">
        <v>4</v>
      </c>
      <c r="E274" s="10" t="s">
        <v>5</v>
      </c>
      <c r="F274" s="10" t="s">
        <v>6</v>
      </c>
      <c r="G274" s="10" t="s">
        <v>7</v>
      </c>
      <c r="H274" s="10" t="s">
        <v>8</v>
      </c>
      <c r="I274" s="10" t="s">
        <v>9</v>
      </c>
      <c r="J274" s="11" t="s">
        <v>10</v>
      </c>
      <c r="K274" s="13"/>
      <c r="L274" s="5"/>
      <c r="O274" s="64"/>
      <c r="Q274" s="6"/>
    </row>
    <row r="275">
      <c r="A275" s="12"/>
      <c r="B275" s="13" t="s">
        <v>11</v>
      </c>
      <c r="C275" s="14" t="s">
        <v>22</v>
      </c>
      <c r="D275" s="35">
        <v>13.0</v>
      </c>
      <c r="E275" s="36">
        <v>2473.29615384615</v>
      </c>
      <c r="F275" s="16">
        <f t="shared" ref="F275:F280" si="40">D275*E275</f>
        <v>32152.85</v>
      </c>
      <c r="G275" s="6"/>
      <c r="H275" s="16"/>
      <c r="I275" s="16"/>
      <c r="J275" s="18">
        <f t="shared" ref="J275:J280" si="41">F275+G275+H275+I275</f>
        <v>32152.85</v>
      </c>
      <c r="K275" s="13"/>
      <c r="L275" s="5"/>
      <c r="O275" s="64"/>
      <c r="Q275" s="6"/>
    </row>
    <row r="276">
      <c r="A276" s="12"/>
      <c r="B276" s="13" t="s">
        <v>11</v>
      </c>
      <c r="C276" s="14" t="s">
        <v>67</v>
      </c>
      <c r="D276" s="15">
        <v>16.0</v>
      </c>
      <c r="E276" s="16">
        <v>2900.0</v>
      </c>
      <c r="F276" s="16">
        <f t="shared" si="40"/>
        <v>46400</v>
      </c>
      <c r="G276" s="6">
        <f t="shared" ref="G276:G277" si="42">(1313/23)*D276</f>
        <v>913.3913043</v>
      </c>
      <c r="H276" s="16"/>
      <c r="I276" s="16"/>
      <c r="J276" s="18">
        <f t="shared" si="41"/>
        <v>47313.3913</v>
      </c>
      <c r="K276" s="13"/>
      <c r="L276" s="5"/>
      <c r="O276" s="64"/>
      <c r="Q276" s="6"/>
    </row>
    <row r="277">
      <c r="A277" s="12"/>
      <c r="B277" s="13" t="s">
        <v>11</v>
      </c>
      <c r="C277" s="14" t="s">
        <v>67</v>
      </c>
      <c r="D277" s="15">
        <v>7.0</v>
      </c>
      <c r="E277" s="16">
        <v>3250.0</v>
      </c>
      <c r="F277" s="16">
        <f t="shared" si="40"/>
        <v>22750</v>
      </c>
      <c r="G277" s="6">
        <f t="shared" si="42"/>
        <v>399.6086957</v>
      </c>
      <c r="H277" s="16"/>
      <c r="I277" s="16"/>
      <c r="J277" s="18">
        <f t="shared" si="41"/>
        <v>23149.6087</v>
      </c>
      <c r="K277" s="13"/>
      <c r="L277" s="5"/>
      <c r="O277" s="73"/>
      <c r="Q277" s="6"/>
    </row>
    <row r="278">
      <c r="A278" s="12"/>
      <c r="B278" s="13" t="s">
        <v>11</v>
      </c>
      <c r="C278" s="14" t="s">
        <v>68</v>
      </c>
      <c r="D278" s="15">
        <v>30.0</v>
      </c>
      <c r="E278" s="16">
        <v>3000.0</v>
      </c>
      <c r="F278" s="16">
        <f t="shared" si="40"/>
        <v>90000</v>
      </c>
      <c r="G278" s="6">
        <v>600.0</v>
      </c>
      <c r="H278" s="16"/>
      <c r="I278" s="16"/>
      <c r="J278" s="18">
        <f t="shared" si="41"/>
        <v>90600</v>
      </c>
      <c r="K278" s="13"/>
      <c r="L278" s="5"/>
      <c r="O278" s="6"/>
      <c r="Q278" s="6"/>
    </row>
    <row r="279">
      <c r="A279" s="12"/>
      <c r="B279" s="13" t="s">
        <v>11</v>
      </c>
      <c r="C279" s="14" t="s">
        <v>69</v>
      </c>
      <c r="D279" s="15">
        <v>34.0</v>
      </c>
      <c r="E279" s="16">
        <v>3125.0</v>
      </c>
      <c r="F279" s="16">
        <f t="shared" si="40"/>
        <v>106250</v>
      </c>
      <c r="G279" s="6">
        <v>358.0</v>
      </c>
      <c r="H279" s="16"/>
      <c r="I279" s="16"/>
      <c r="J279" s="18">
        <f t="shared" si="41"/>
        <v>106608</v>
      </c>
      <c r="K279" s="13"/>
      <c r="L279" s="5"/>
      <c r="O279" s="6"/>
      <c r="Q279" s="6"/>
    </row>
    <row r="280">
      <c r="A280" s="12"/>
      <c r="B280" s="13" t="s">
        <v>11</v>
      </c>
      <c r="C280" s="14" t="s">
        <v>70</v>
      </c>
      <c r="D280" s="15">
        <v>32.0</v>
      </c>
      <c r="E280" s="16">
        <v>2900.0</v>
      </c>
      <c r="F280" s="16">
        <f t="shared" si="40"/>
        <v>92800</v>
      </c>
      <c r="G280" s="6">
        <v>975.0</v>
      </c>
      <c r="H280" s="16"/>
      <c r="I280" s="16"/>
      <c r="J280" s="18">
        <f t="shared" si="41"/>
        <v>93775</v>
      </c>
      <c r="K280" s="13"/>
      <c r="L280" s="5"/>
      <c r="O280" s="6"/>
      <c r="Q280" s="6"/>
    </row>
    <row r="281">
      <c r="A281" s="12"/>
      <c r="B281" s="13"/>
      <c r="C281" s="14"/>
      <c r="D281" s="15"/>
      <c r="E281" s="16"/>
      <c r="F281" s="16"/>
      <c r="G281" s="6"/>
      <c r="H281" s="16"/>
      <c r="I281" s="16"/>
      <c r="J281" s="18"/>
      <c r="K281" s="13"/>
      <c r="L281" s="5"/>
      <c r="O281" s="6"/>
      <c r="Q281" s="6"/>
    </row>
    <row r="282">
      <c r="A282" s="12"/>
      <c r="B282" s="13"/>
      <c r="C282" s="13"/>
      <c r="D282" s="15"/>
      <c r="E282" s="19"/>
      <c r="F282" s="16"/>
      <c r="G282" s="16"/>
      <c r="H282" s="16"/>
      <c r="I282" s="16"/>
      <c r="J282" s="18"/>
      <c r="K282" s="13"/>
      <c r="L282" s="5"/>
      <c r="O282" s="6"/>
      <c r="Q282" s="6"/>
    </row>
    <row r="283">
      <c r="A283" s="20"/>
      <c r="B283" s="13"/>
      <c r="C283" s="21" t="s">
        <v>14</v>
      </c>
      <c r="D283" s="22">
        <f>SUM(D275:D281)</f>
        <v>132</v>
      </c>
      <c r="E283" s="16"/>
      <c r="F283" s="16"/>
      <c r="G283" s="16"/>
      <c r="H283" s="23" t="s">
        <v>15</v>
      </c>
      <c r="I283" s="24"/>
      <c r="J283" s="25">
        <f>SUM(J275:J281)</f>
        <v>393598.85</v>
      </c>
      <c r="K283" s="13"/>
      <c r="L283" s="5"/>
      <c r="O283" s="6"/>
      <c r="Q283" s="6"/>
    </row>
    <row r="284">
      <c r="A284" s="20"/>
      <c r="B284" s="13"/>
      <c r="C284" s="13"/>
      <c r="D284" s="15"/>
      <c r="E284" s="16"/>
      <c r="F284" s="16"/>
      <c r="G284" s="16"/>
      <c r="H284" s="23" t="s">
        <v>16</v>
      </c>
      <c r="I284" s="24"/>
      <c r="J284" s="26">
        <f>J283/D283</f>
        <v>2981.80947</v>
      </c>
      <c r="K284" s="13"/>
      <c r="L284" s="5"/>
      <c r="O284" s="6"/>
      <c r="Q284" s="6"/>
    </row>
    <row r="285">
      <c r="A285" s="20"/>
      <c r="B285" s="13"/>
      <c r="C285" s="13"/>
      <c r="D285" s="15"/>
      <c r="E285" s="16"/>
      <c r="F285" s="16"/>
      <c r="G285" s="16"/>
      <c r="H285" s="16"/>
      <c r="I285" s="16"/>
      <c r="J285" s="18"/>
      <c r="K285" s="13"/>
      <c r="L285" s="5"/>
      <c r="O285" s="6"/>
      <c r="Q285" s="6"/>
    </row>
    <row r="286">
      <c r="A286" s="20"/>
      <c r="B286" s="13"/>
      <c r="C286" s="13"/>
      <c r="D286" s="15"/>
      <c r="E286" s="16"/>
      <c r="F286" s="16"/>
      <c r="G286" s="16"/>
      <c r="H286" s="16"/>
      <c r="I286" s="16"/>
      <c r="J286" s="18"/>
      <c r="K286" s="13"/>
      <c r="L286" s="5"/>
      <c r="O286" s="6"/>
      <c r="Q286" s="6"/>
    </row>
    <row r="287">
      <c r="A287" s="20"/>
      <c r="B287" s="13"/>
      <c r="C287" s="13"/>
      <c r="D287" s="15"/>
      <c r="E287" s="16"/>
      <c r="F287" s="16"/>
      <c r="G287" s="16"/>
      <c r="H287" s="28" t="str">
        <f>CONCATENATE("Temos ",D283," cabeças, custando: ",TEXT(J284, "R$#,##"))</f>
        <v>Temos 132 cabeças, custando: R$2.982</v>
      </c>
      <c r="J287" s="29"/>
      <c r="K287" s="13"/>
      <c r="L287" s="5"/>
      <c r="O287" s="6"/>
      <c r="Q287" s="6"/>
    </row>
    <row r="288">
      <c r="A288" s="30" t="s">
        <v>1</v>
      </c>
      <c r="B288" s="31" t="s">
        <v>2</v>
      </c>
      <c r="C288" s="31" t="s">
        <v>3</v>
      </c>
      <c r="D288" s="32" t="s">
        <v>4</v>
      </c>
      <c r="E288" s="33" t="s">
        <v>5</v>
      </c>
      <c r="F288" s="33" t="s">
        <v>6</v>
      </c>
      <c r="G288" s="33" t="s">
        <v>7</v>
      </c>
      <c r="H288" s="33" t="s">
        <v>8</v>
      </c>
      <c r="I288" s="33" t="s">
        <v>17</v>
      </c>
      <c r="J288" s="34" t="s">
        <v>10</v>
      </c>
      <c r="K288" s="13"/>
      <c r="L288" s="5"/>
      <c r="O288" s="6"/>
      <c r="Q288" s="6"/>
    </row>
    <row r="289">
      <c r="A289" s="12"/>
      <c r="B289" s="13" t="s">
        <v>20</v>
      </c>
      <c r="C289" s="13" t="s">
        <v>30</v>
      </c>
      <c r="D289" s="35">
        <v>59.0</v>
      </c>
      <c r="E289" s="36">
        <v>3377.8260000000005</v>
      </c>
      <c r="F289" s="16">
        <f t="shared" ref="F289:F293" si="43">D289*E289</f>
        <v>199291.734</v>
      </c>
      <c r="G289" s="36"/>
      <c r="H289" s="36"/>
      <c r="I289" s="37">
        <f t="shared" ref="I289:I290" si="44">-4.85*D289</f>
        <v>-286.15</v>
      </c>
      <c r="J289" s="18">
        <f t="shared" ref="J289:J293" si="45">F289+G289+H289+I289</f>
        <v>199005.584</v>
      </c>
      <c r="K289" s="13"/>
      <c r="L289" s="5"/>
      <c r="O289" s="6">
        <v>2243.0</v>
      </c>
      <c r="Q289" s="6">
        <v>29679.5538461538</v>
      </c>
    </row>
    <row r="290">
      <c r="A290" s="12"/>
      <c r="B290" s="13" t="s">
        <v>20</v>
      </c>
      <c r="C290" s="13" t="s">
        <v>30</v>
      </c>
      <c r="D290" s="35">
        <v>41.0</v>
      </c>
      <c r="E290" s="36">
        <v>3000.0</v>
      </c>
      <c r="F290" s="16">
        <f t="shared" si="43"/>
        <v>123000</v>
      </c>
      <c r="G290" s="36"/>
      <c r="H290" s="36"/>
      <c r="I290" s="37">
        <f t="shared" si="44"/>
        <v>-198.85</v>
      </c>
      <c r="J290" s="18">
        <f t="shared" si="45"/>
        <v>122801.15</v>
      </c>
      <c r="K290" s="13"/>
      <c r="L290" s="5"/>
      <c r="O290" s="6">
        <v>-2730.0</v>
      </c>
      <c r="Q290" s="6">
        <v>59000.0</v>
      </c>
    </row>
    <row r="291">
      <c r="A291" s="12"/>
      <c r="B291" s="78" t="s">
        <v>20</v>
      </c>
      <c r="C291" s="78" t="s">
        <v>71</v>
      </c>
      <c r="D291" s="79">
        <v>12.0</v>
      </c>
      <c r="E291" s="80">
        <v>2473.29615384615</v>
      </c>
      <c r="F291" s="81">
        <f t="shared" si="43"/>
        <v>29679.55385</v>
      </c>
      <c r="G291" s="80"/>
      <c r="H291" s="80"/>
      <c r="I291" s="80"/>
      <c r="J291" s="82">
        <f t="shared" si="45"/>
        <v>29679.55385</v>
      </c>
      <c r="K291" s="13"/>
      <c r="L291" s="5"/>
      <c r="O291" s="6"/>
      <c r="Q291" s="6">
        <v>116040.0</v>
      </c>
    </row>
    <row r="292">
      <c r="A292" s="12"/>
      <c r="B292" s="78" t="s">
        <v>20</v>
      </c>
      <c r="C292" s="78" t="s">
        <v>72</v>
      </c>
      <c r="D292" s="83">
        <v>20.0</v>
      </c>
      <c r="E292" s="84">
        <v>2950.0</v>
      </c>
      <c r="F292" s="85">
        <f t="shared" si="43"/>
        <v>59000</v>
      </c>
      <c r="G292" s="84"/>
      <c r="H292" s="84"/>
      <c r="I292" s="84"/>
      <c r="J292" s="86">
        <f t="shared" si="45"/>
        <v>59000</v>
      </c>
      <c r="K292" s="13"/>
      <c r="L292" s="64">
        <f>(J289+J290)/100</f>
        <v>3218.06734</v>
      </c>
      <c r="O292" s="6"/>
      <c r="Q292" s="6">
        <v>297524.44</v>
      </c>
    </row>
    <row r="293">
      <c r="A293" s="39"/>
      <c r="B293" s="40"/>
      <c r="C293" s="40"/>
      <c r="D293" s="41"/>
      <c r="E293" s="42"/>
      <c r="F293" s="16">
        <f t="shared" si="43"/>
        <v>0</v>
      </c>
      <c r="G293" s="42"/>
      <c r="H293" s="42"/>
      <c r="I293" s="44"/>
      <c r="J293" s="45">
        <f t="shared" si="45"/>
        <v>0</v>
      </c>
      <c r="K293" s="13"/>
      <c r="L293" s="5"/>
      <c r="O293" s="6"/>
      <c r="Q293" s="6">
        <f>SUM(Q289:Q292)</f>
        <v>502243.9938</v>
      </c>
    </row>
    <row r="294">
      <c r="A294" s="12"/>
      <c r="B294" s="13"/>
      <c r="C294" s="13"/>
      <c r="D294" s="15"/>
      <c r="E294" s="16"/>
      <c r="F294" s="16"/>
      <c r="G294" s="16"/>
      <c r="H294" s="16"/>
      <c r="I294" s="16"/>
      <c r="J294" s="18"/>
      <c r="K294" s="13"/>
      <c r="L294" s="5"/>
      <c r="O294" s="6"/>
      <c r="Q294" s="6">
        <v>-500000.0</v>
      </c>
    </row>
    <row r="295">
      <c r="A295" s="20"/>
      <c r="B295" s="13"/>
      <c r="C295" s="50" t="s">
        <v>14</v>
      </c>
      <c r="D295" s="22">
        <f>SUM(D289:D294)</f>
        <v>132</v>
      </c>
      <c r="E295" s="16"/>
      <c r="F295" s="16"/>
      <c r="G295" s="16"/>
      <c r="H295" s="51" t="s">
        <v>10</v>
      </c>
      <c r="I295" s="24"/>
      <c r="J295" s="25">
        <f>SUM(J289:J294)</f>
        <v>410486.2878</v>
      </c>
      <c r="K295" s="13"/>
      <c r="L295" s="5"/>
      <c r="O295" s="6"/>
      <c r="Q295" s="6"/>
    </row>
    <row r="296">
      <c r="A296" s="20"/>
      <c r="B296" s="13"/>
      <c r="C296" s="13"/>
      <c r="D296" s="15"/>
      <c r="E296" s="16"/>
      <c r="F296" s="16"/>
      <c r="G296" s="16"/>
      <c r="H296" s="51" t="s">
        <v>16</v>
      </c>
      <c r="I296" s="24"/>
      <c r="J296" s="26">
        <f>J295/D295</f>
        <v>3109.744605</v>
      </c>
      <c r="K296" s="13"/>
      <c r="L296" s="5"/>
      <c r="O296" s="6"/>
      <c r="Q296" s="6"/>
    </row>
    <row r="297">
      <c r="A297" s="20"/>
      <c r="B297" s="13"/>
      <c r="C297" s="13"/>
      <c r="D297" s="15"/>
      <c r="E297" s="16"/>
      <c r="F297" s="16"/>
      <c r="G297" s="16"/>
      <c r="H297" s="16"/>
      <c r="I297" s="16"/>
      <c r="J297" s="18"/>
      <c r="K297" s="13"/>
      <c r="L297" s="5"/>
      <c r="O297" s="6"/>
      <c r="Q297" s="6"/>
    </row>
    <row r="298">
      <c r="A298" s="20"/>
      <c r="B298" s="13"/>
      <c r="C298" s="13"/>
      <c r="D298" s="15"/>
      <c r="E298" s="16"/>
      <c r="F298" s="16"/>
      <c r="G298" s="16"/>
      <c r="H298" s="51" t="s">
        <v>23</v>
      </c>
      <c r="I298" s="24"/>
      <c r="J298" s="25">
        <f>J295-J283</f>
        <v>16887.43785</v>
      </c>
      <c r="K298" s="13"/>
      <c r="L298" s="5"/>
      <c r="O298" s="35">
        <v>60.0</v>
      </c>
      <c r="P298" s="36">
        <v>3377.8260000000005</v>
      </c>
      <c r="Q298" s="16">
        <f t="shared" ref="Q298:Q299" si="46">O298*P298</f>
        <v>202669.56</v>
      </c>
    </row>
    <row r="299">
      <c r="A299" s="20"/>
      <c r="B299" s="13"/>
      <c r="C299" s="13"/>
      <c r="D299" s="15"/>
      <c r="E299" s="16"/>
      <c r="F299" s="16"/>
      <c r="G299" s="16"/>
      <c r="H299" s="16"/>
      <c r="I299" s="16"/>
      <c r="J299" s="18"/>
      <c r="K299" s="13"/>
      <c r="L299" s="5"/>
      <c r="O299" s="35">
        <v>41.0</v>
      </c>
      <c r="P299" s="36">
        <v>3000.0</v>
      </c>
      <c r="Q299" s="16">
        <f t="shared" si="46"/>
        <v>123000</v>
      </c>
    </row>
    <row r="300">
      <c r="A300" s="20"/>
      <c r="B300" s="13"/>
      <c r="C300" s="55" t="s">
        <v>22</v>
      </c>
      <c r="D300" s="15">
        <f>D283-D295</f>
        <v>0</v>
      </c>
      <c r="E300" s="16"/>
      <c r="F300" s="16"/>
      <c r="G300" s="16"/>
      <c r="H300" s="56" t="s">
        <v>24</v>
      </c>
      <c r="I300" s="24"/>
      <c r="J300" s="18" t="str">
        <f>J298/D300</f>
        <v>#DIV/0!</v>
      </c>
      <c r="K300" s="13"/>
      <c r="L300" s="5"/>
      <c r="O300" s="6"/>
      <c r="Q300" s="73">
        <f>SUM(Q298:Q299)</f>
        <v>325669.56</v>
      </c>
    </row>
    <row r="301">
      <c r="A301" s="20"/>
      <c r="B301" s="13"/>
      <c r="C301" s="13"/>
      <c r="D301" s="15"/>
      <c r="E301" s="16"/>
      <c r="F301" s="16"/>
      <c r="G301" s="16"/>
      <c r="H301" s="57" t="s">
        <v>25</v>
      </c>
      <c r="I301" s="24"/>
      <c r="J301" s="18">
        <f>J298/D295</f>
        <v>127.9351352</v>
      </c>
      <c r="K301" s="13"/>
      <c r="L301" s="5"/>
      <c r="O301" s="6"/>
      <c r="Q301" s="6"/>
    </row>
    <row r="302">
      <c r="A302" s="20"/>
      <c r="B302" s="13"/>
      <c r="C302" s="13"/>
      <c r="D302" s="15"/>
      <c r="E302" s="16"/>
      <c r="F302" s="16"/>
      <c r="G302" s="16"/>
      <c r="H302" s="58"/>
      <c r="I302" s="58"/>
      <c r="J302" s="18"/>
      <c r="K302" s="13"/>
      <c r="L302" s="5"/>
      <c r="O302" s="6"/>
      <c r="Q302" s="6"/>
    </row>
    <row r="303">
      <c r="A303" s="20"/>
      <c r="B303" s="13"/>
      <c r="C303" s="13"/>
      <c r="D303" s="15"/>
      <c r="E303" s="16"/>
      <c r="F303" s="65"/>
      <c r="G303" s="66"/>
      <c r="H303" s="66"/>
      <c r="I303" s="67"/>
      <c r="J303" s="68"/>
      <c r="K303" s="13"/>
      <c r="L303" s="5"/>
      <c r="O303" s="6"/>
      <c r="Q303" s="6"/>
    </row>
    <row r="304">
      <c r="A304" s="20"/>
      <c r="B304" s="13"/>
      <c r="C304" s="13"/>
      <c r="D304" s="15"/>
      <c r="E304" s="16"/>
      <c r="F304" s="69"/>
      <c r="G304" s="66"/>
      <c r="H304" s="66"/>
      <c r="I304" s="67"/>
      <c r="J304" s="68"/>
      <c r="K304" s="13"/>
      <c r="L304" s="5"/>
      <c r="O304" s="6">
        <v>95060.0</v>
      </c>
      <c r="Q304" s="6"/>
    </row>
    <row r="305">
      <c r="A305" s="20"/>
      <c r="B305" s="13"/>
      <c r="C305" s="13"/>
      <c r="D305" s="15"/>
      <c r="E305" s="16"/>
      <c r="F305" s="70"/>
      <c r="G305" s="70"/>
      <c r="H305" s="51" t="s">
        <v>36</v>
      </c>
      <c r="I305" s="24"/>
      <c r="J305" s="25">
        <f>J298+J303+J304</f>
        <v>16887.43785</v>
      </c>
      <c r="K305" s="13"/>
      <c r="L305" s="5"/>
      <c r="O305" s="6">
        <v>88679.0</v>
      </c>
      <c r="Q305" s="6"/>
    </row>
    <row r="306">
      <c r="A306" s="20"/>
      <c r="B306" s="13"/>
      <c r="C306" s="58" t="str">
        <f>IFERROR("Não sobrou",CONCATENATE("Parceria Mauro -&gt; Sobrou ",#REF!," cabeças, custando: ",TEXT(#REF!, "R$#,##")))</f>
        <v>Não sobrou</v>
      </c>
      <c r="J306" s="29"/>
      <c r="K306" s="13"/>
      <c r="L306" s="5"/>
      <c r="O306" s="6">
        <v>322291.0</v>
      </c>
      <c r="Q306" s="6"/>
    </row>
    <row r="307">
      <c r="A307" s="20"/>
      <c r="B307" s="13"/>
      <c r="C307" s="58"/>
      <c r="D307" s="58"/>
      <c r="E307" s="58"/>
      <c r="F307" s="58"/>
      <c r="G307" s="58"/>
      <c r="H307" s="58"/>
      <c r="I307" s="58"/>
      <c r="J307" s="76"/>
      <c r="K307" s="13"/>
      <c r="L307" s="5"/>
      <c r="O307" s="6">
        <v>13000.0</v>
      </c>
      <c r="Q307" s="6"/>
    </row>
    <row r="308">
      <c r="A308" s="59"/>
      <c r="B308" s="60"/>
      <c r="C308" s="61" t="str">
        <f>IF(J305&gt;0,CONCATENATE("Total de Lucro Parceria -&gt;: ",TEXT(J305, "R$#.##0,00")),"Não houve lucro")</f>
        <v>Total de Lucro Parceria -&gt;: R$16.887,43785</v>
      </c>
      <c r="D308" s="62"/>
      <c r="E308" s="62"/>
      <c r="F308" s="62"/>
      <c r="G308" s="62"/>
      <c r="H308" s="62"/>
      <c r="I308" s="62"/>
      <c r="J308" s="63"/>
      <c r="K308" s="13"/>
      <c r="L308" s="5"/>
      <c r="O308" s="6"/>
      <c r="Q308" s="6"/>
    </row>
    <row r="309">
      <c r="A309" s="13"/>
      <c r="B309" s="13"/>
      <c r="C309" s="61" t="str">
        <f>IF(J305&gt;0,CONCATENATE("50% -&gt;: ",TEXT((J305/2), "R$#.##0,00")),"Não houve lucro")</f>
        <v>50% -&gt;: R$8.443,71892</v>
      </c>
      <c r="D309" s="62"/>
      <c r="E309" s="62"/>
      <c r="F309" s="62"/>
      <c r="G309" s="62"/>
      <c r="H309" s="62"/>
      <c r="I309" s="62"/>
      <c r="J309" s="63"/>
      <c r="K309" s="13"/>
      <c r="L309" s="5"/>
      <c r="O309" s="6"/>
      <c r="Q309" s="6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5"/>
      <c r="O310" s="6"/>
      <c r="Q310" s="6"/>
    </row>
    <row r="311">
      <c r="A311" s="1" t="s">
        <v>73</v>
      </c>
      <c r="B311" s="2"/>
      <c r="C311" s="2"/>
      <c r="D311" s="2"/>
      <c r="E311" s="2"/>
      <c r="F311" s="2"/>
      <c r="G311" s="2"/>
      <c r="H311" s="2"/>
      <c r="I311" s="2"/>
      <c r="J311" s="3"/>
      <c r="K311" s="13"/>
      <c r="L311" s="5"/>
      <c r="O311" s="6"/>
      <c r="Q311" s="6"/>
    </row>
    <row r="312">
      <c r="A312" s="7" t="s">
        <v>1</v>
      </c>
      <c r="B312" s="8" t="s">
        <v>2</v>
      </c>
      <c r="C312" s="8" t="s">
        <v>3</v>
      </c>
      <c r="D312" s="9" t="s">
        <v>4</v>
      </c>
      <c r="E312" s="10" t="s">
        <v>5</v>
      </c>
      <c r="F312" s="10" t="s">
        <v>6</v>
      </c>
      <c r="G312" s="10" t="s">
        <v>7</v>
      </c>
      <c r="H312" s="10" t="s">
        <v>8</v>
      </c>
      <c r="I312" s="10" t="s">
        <v>9</v>
      </c>
      <c r="J312" s="11" t="s">
        <v>10</v>
      </c>
      <c r="K312" s="13"/>
      <c r="L312" s="5"/>
      <c r="O312" s="6"/>
      <c r="Q312" s="6"/>
    </row>
    <row r="313">
      <c r="A313" s="12">
        <v>46065.0</v>
      </c>
      <c r="B313" s="13" t="s">
        <v>11</v>
      </c>
      <c r="C313" s="14" t="s">
        <v>22</v>
      </c>
      <c r="D313" s="35">
        <v>20.0</v>
      </c>
      <c r="E313" s="36">
        <v>2950.0</v>
      </c>
      <c r="F313" s="16">
        <f t="shared" ref="F313:F318" si="47">D313*E313</f>
        <v>59000</v>
      </c>
      <c r="G313" s="6"/>
      <c r="H313" s="16"/>
      <c r="I313" s="16"/>
      <c r="J313" s="18">
        <f t="shared" ref="J313:J318" si="48">F313+G313+H313+I313</f>
        <v>59000</v>
      </c>
      <c r="K313" s="13"/>
      <c r="L313" s="5"/>
      <c r="O313" s="6"/>
      <c r="Q313" s="6"/>
    </row>
    <row r="314">
      <c r="A314" s="12">
        <v>46065.0</v>
      </c>
      <c r="B314" s="13" t="s">
        <v>11</v>
      </c>
      <c r="C314" s="14" t="s">
        <v>74</v>
      </c>
      <c r="D314" s="15">
        <v>38.0</v>
      </c>
      <c r="E314" s="16">
        <v>3000.0</v>
      </c>
      <c r="F314" s="16">
        <f t="shared" si="47"/>
        <v>114000</v>
      </c>
      <c r="G314" s="6">
        <v>2040.0</v>
      </c>
      <c r="H314" s="16"/>
      <c r="I314" s="16"/>
      <c r="J314" s="18">
        <f t="shared" si="48"/>
        <v>116040</v>
      </c>
      <c r="K314" s="13"/>
      <c r="L314" s="5"/>
      <c r="O314" s="6"/>
      <c r="Q314" s="6"/>
    </row>
    <row r="315">
      <c r="A315" s="12">
        <v>46065.0</v>
      </c>
      <c r="B315" s="13" t="s">
        <v>11</v>
      </c>
      <c r="C315" s="14" t="s">
        <v>75</v>
      </c>
      <c r="D315" s="15">
        <v>41.0</v>
      </c>
      <c r="E315" s="16">
        <v>2820.0</v>
      </c>
      <c r="F315" s="16">
        <f t="shared" si="47"/>
        <v>115620</v>
      </c>
      <c r="G315" s="6">
        <v>4708.0</v>
      </c>
      <c r="H315" s="16"/>
      <c r="I315" s="16"/>
      <c r="J315" s="18">
        <f t="shared" si="48"/>
        <v>120328</v>
      </c>
      <c r="K315" s="13"/>
      <c r="L315" s="5"/>
      <c r="O315" s="6"/>
      <c r="Q315" s="6"/>
    </row>
    <row r="316">
      <c r="A316" s="12">
        <v>46065.0</v>
      </c>
      <c r="B316" s="13" t="s">
        <v>11</v>
      </c>
      <c r="C316" s="14" t="s">
        <v>76</v>
      </c>
      <c r="D316" s="15">
        <v>7.0</v>
      </c>
      <c r="E316" s="16">
        <v>2720.0</v>
      </c>
      <c r="F316" s="16">
        <f t="shared" si="47"/>
        <v>19040</v>
      </c>
      <c r="G316" s="6"/>
      <c r="H316" s="16"/>
      <c r="I316" s="16"/>
      <c r="J316" s="18">
        <f t="shared" si="48"/>
        <v>19040</v>
      </c>
      <c r="K316" s="13"/>
      <c r="L316" s="5"/>
      <c r="O316" s="6"/>
      <c r="Q316" s="6"/>
    </row>
    <row r="317" hidden="1">
      <c r="A317" s="12"/>
      <c r="B317" s="13" t="s">
        <v>11</v>
      </c>
      <c r="C317" s="14"/>
      <c r="D317" s="15"/>
      <c r="E317" s="16"/>
      <c r="F317" s="16">
        <f t="shared" si="47"/>
        <v>0</v>
      </c>
      <c r="G317" s="6"/>
      <c r="H317" s="16"/>
      <c r="I317" s="16"/>
      <c r="J317" s="18">
        <f t="shared" si="48"/>
        <v>0</v>
      </c>
      <c r="K317" s="13"/>
      <c r="L317" s="5"/>
      <c r="O317" s="6"/>
      <c r="Q317" s="6"/>
    </row>
    <row r="318" hidden="1">
      <c r="A318" s="12"/>
      <c r="B318" s="13" t="s">
        <v>11</v>
      </c>
      <c r="C318" s="14"/>
      <c r="D318" s="15"/>
      <c r="E318" s="16"/>
      <c r="F318" s="16">
        <f t="shared" si="47"/>
        <v>0</v>
      </c>
      <c r="G318" s="6"/>
      <c r="H318" s="16"/>
      <c r="I318" s="16"/>
      <c r="J318" s="18">
        <f t="shared" si="48"/>
        <v>0</v>
      </c>
      <c r="K318" s="13"/>
      <c r="L318" s="5"/>
      <c r="O318" s="6"/>
      <c r="Q318" s="6"/>
    </row>
    <row r="319">
      <c r="A319" s="12"/>
      <c r="B319" s="13"/>
      <c r="C319" s="14"/>
      <c r="D319" s="15"/>
      <c r="E319" s="16"/>
      <c r="F319" s="16"/>
      <c r="G319" s="6"/>
      <c r="H319" s="16"/>
      <c r="I319" s="16"/>
      <c r="J319" s="18"/>
      <c r="K319" s="13"/>
      <c r="L319" s="5"/>
      <c r="O319" s="6"/>
      <c r="Q319" s="6"/>
    </row>
    <row r="320">
      <c r="A320" s="12"/>
      <c r="B320" s="13"/>
      <c r="C320" s="13"/>
      <c r="D320" s="15"/>
      <c r="E320" s="19"/>
      <c r="F320" s="16"/>
      <c r="G320" s="16"/>
      <c r="H320" s="16"/>
      <c r="I320" s="16"/>
      <c r="J320" s="18"/>
      <c r="K320" s="13"/>
      <c r="L320" s="5"/>
      <c r="O320" s="6">
        <f>2*2820</f>
        <v>5640</v>
      </c>
      <c r="Q320" s="6"/>
    </row>
    <row r="321">
      <c r="A321" s="20"/>
      <c r="B321" s="13"/>
      <c r="C321" s="21" t="s">
        <v>14</v>
      </c>
      <c r="D321" s="22">
        <f>SUM(D313:D319)</f>
        <v>106</v>
      </c>
      <c r="E321" s="16"/>
      <c r="F321" s="16"/>
      <c r="G321" s="16"/>
      <c r="H321" s="23" t="s">
        <v>15</v>
      </c>
      <c r="I321" s="24"/>
      <c r="J321" s="25">
        <f>SUM(J313:J319)</f>
        <v>314408</v>
      </c>
      <c r="K321" s="13"/>
      <c r="L321" s="5"/>
      <c r="O321" s="6">
        <v>700.0</v>
      </c>
      <c r="Q321" s="6"/>
    </row>
    <row r="322">
      <c r="A322" s="20"/>
      <c r="B322" s="13"/>
      <c r="C322" s="13"/>
      <c r="D322" s="15"/>
      <c r="E322" s="16"/>
      <c r="F322" s="16"/>
      <c r="G322" s="16"/>
      <c r="H322" s="23" t="s">
        <v>16</v>
      </c>
      <c r="I322" s="24"/>
      <c r="J322" s="26">
        <f>J321/D321</f>
        <v>2966.113208</v>
      </c>
      <c r="K322" s="13"/>
      <c r="L322" s="5"/>
      <c r="O322" s="6">
        <f>SUM(O320:O321)</f>
        <v>6340</v>
      </c>
      <c r="Q322" s="6"/>
    </row>
    <row r="323">
      <c r="A323" s="20"/>
      <c r="B323" s="13"/>
      <c r="C323" s="13"/>
      <c r="D323" s="15"/>
      <c r="E323" s="16"/>
      <c r="F323" s="16"/>
      <c r="G323" s="16"/>
      <c r="H323" s="16"/>
      <c r="I323" s="16"/>
      <c r="J323" s="18"/>
      <c r="K323" s="13"/>
      <c r="L323" s="5"/>
      <c r="O323" s="6"/>
      <c r="Q323" s="6"/>
    </row>
    <row r="324">
      <c r="A324" s="20"/>
      <c r="B324" s="13"/>
      <c r="C324" s="13"/>
      <c r="D324" s="15"/>
      <c r="E324" s="16"/>
      <c r="F324" s="16"/>
      <c r="G324" s="16"/>
      <c r="H324" s="16"/>
      <c r="I324" s="16"/>
      <c r="J324" s="18"/>
      <c r="K324" s="13"/>
      <c r="L324" s="5"/>
      <c r="O324" s="6"/>
      <c r="Q324" s="6"/>
    </row>
    <row r="325">
      <c r="A325" s="20"/>
      <c r="B325" s="13"/>
      <c r="C325" s="13"/>
      <c r="D325" s="15"/>
      <c r="E325" s="16"/>
      <c r="F325" s="16"/>
      <c r="G325" s="16"/>
      <c r="H325" s="28" t="str">
        <f>CONCATENATE("Temos ",D321," cabeças, custando: ",TEXT(J322, "R$#,##"))</f>
        <v>Temos 106 cabeças, custando: R$2.966</v>
      </c>
      <c r="J325" s="29"/>
      <c r="K325" s="13"/>
      <c r="L325" s="5"/>
      <c r="O325" s="6"/>
      <c r="Q325" s="6"/>
    </row>
    <row r="326">
      <c r="A326" s="30" t="s">
        <v>1</v>
      </c>
      <c r="B326" s="31" t="s">
        <v>2</v>
      </c>
      <c r="C326" s="31" t="s">
        <v>3</v>
      </c>
      <c r="D326" s="32" t="s">
        <v>4</v>
      </c>
      <c r="E326" s="33" t="s">
        <v>5</v>
      </c>
      <c r="F326" s="33" t="s">
        <v>6</v>
      </c>
      <c r="G326" s="33" t="s">
        <v>7</v>
      </c>
      <c r="H326" s="33" t="s">
        <v>8</v>
      </c>
      <c r="I326" s="33" t="s">
        <v>17</v>
      </c>
      <c r="J326" s="34" t="s">
        <v>10</v>
      </c>
      <c r="K326" s="13"/>
      <c r="L326" s="5"/>
      <c r="O326" s="6"/>
      <c r="Q326" s="6"/>
    </row>
    <row r="327">
      <c r="A327" s="12">
        <v>46094.0</v>
      </c>
      <c r="B327" s="13" t="s">
        <v>20</v>
      </c>
      <c r="C327" s="13" t="s">
        <v>30</v>
      </c>
      <c r="D327" s="35">
        <v>99.0</v>
      </c>
      <c r="E327" s="36">
        <v>3070.0</v>
      </c>
      <c r="F327" s="16">
        <f t="shared" ref="F327:F328" si="49">D327*E327</f>
        <v>303930</v>
      </c>
      <c r="G327" s="36"/>
      <c r="H327" s="36"/>
      <c r="I327" s="37">
        <f>-4.85*D327</f>
        <v>-480.15</v>
      </c>
      <c r="J327" s="18">
        <f t="shared" ref="J327:J328" si="50">F327+G327+H327+I327</f>
        <v>303449.85</v>
      </c>
      <c r="K327" s="13"/>
      <c r="L327" s="5"/>
      <c r="O327" s="6"/>
      <c r="Q327" s="6"/>
    </row>
    <row r="328">
      <c r="A328" s="12">
        <v>46094.0</v>
      </c>
      <c r="B328" s="13" t="s">
        <v>20</v>
      </c>
      <c r="C328" s="13" t="s">
        <v>22</v>
      </c>
      <c r="D328" s="35">
        <v>7.0</v>
      </c>
      <c r="E328" s="36">
        <v>2720.0</v>
      </c>
      <c r="F328" s="16">
        <f t="shared" si="49"/>
        <v>19040</v>
      </c>
      <c r="G328" s="36"/>
      <c r="H328" s="36"/>
      <c r="I328" s="37"/>
      <c r="J328" s="18">
        <f t="shared" si="50"/>
        <v>19040</v>
      </c>
      <c r="K328" s="13"/>
      <c r="L328" s="5"/>
      <c r="O328" s="6"/>
      <c r="Q328" s="6"/>
    </row>
    <row r="329">
      <c r="A329" s="12"/>
      <c r="B329" s="13"/>
      <c r="C329" s="13"/>
      <c r="D329" s="15"/>
      <c r="E329" s="16"/>
      <c r="F329" s="16"/>
      <c r="G329" s="16"/>
      <c r="H329" s="16"/>
      <c r="I329" s="16"/>
      <c r="J329" s="18"/>
      <c r="K329" s="13"/>
      <c r="L329" s="5"/>
      <c r="O329" s="6"/>
      <c r="Q329" s="6"/>
    </row>
    <row r="330">
      <c r="A330" s="20"/>
      <c r="B330" s="13"/>
      <c r="C330" s="50" t="s">
        <v>14</v>
      </c>
      <c r="D330" s="22">
        <f>SUM(D327:D329)</f>
        <v>106</v>
      </c>
      <c r="E330" s="16"/>
      <c r="F330" s="16"/>
      <c r="G330" s="16"/>
      <c r="H330" s="51" t="s">
        <v>10</v>
      </c>
      <c r="I330" s="24"/>
      <c r="J330" s="25">
        <f>SUM(J327:J329)</f>
        <v>322489.85</v>
      </c>
      <c r="K330" s="13"/>
      <c r="L330" s="5"/>
      <c r="O330" s="6"/>
      <c r="Q330" s="6"/>
    </row>
    <row r="331">
      <c r="A331" s="20"/>
      <c r="B331" s="13"/>
      <c r="C331" s="13"/>
      <c r="D331" s="15"/>
      <c r="E331" s="16"/>
      <c r="F331" s="16"/>
      <c r="G331" s="16"/>
      <c r="H331" s="51" t="s">
        <v>16</v>
      </c>
      <c r="I331" s="24"/>
      <c r="J331" s="26">
        <f>J330/D330</f>
        <v>3042.357075</v>
      </c>
      <c r="K331" s="13"/>
      <c r="L331" s="5"/>
      <c r="O331" s="6"/>
      <c r="Q331" s="6"/>
    </row>
    <row r="332">
      <c r="A332" s="20"/>
      <c r="B332" s="13"/>
      <c r="C332" s="13"/>
      <c r="D332" s="15"/>
      <c r="E332" s="16"/>
      <c r="F332" s="16"/>
      <c r="G332" s="16"/>
      <c r="H332" s="16"/>
      <c r="I332" s="16"/>
      <c r="J332" s="18"/>
      <c r="K332" s="13"/>
      <c r="L332" s="5"/>
      <c r="O332" s="6"/>
      <c r="Q332" s="6"/>
    </row>
    <row r="333">
      <c r="A333" s="20"/>
      <c r="B333" s="13"/>
      <c r="C333" s="13"/>
      <c r="D333" s="15"/>
      <c r="E333" s="16"/>
      <c r="F333" s="16"/>
      <c r="G333" s="16"/>
      <c r="H333" s="51" t="s">
        <v>23</v>
      </c>
      <c r="I333" s="24"/>
      <c r="J333" s="25">
        <f>J330-J321</f>
        <v>8081.85</v>
      </c>
      <c r="K333" s="13"/>
      <c r="L333" s="5"/>
      <c r="O333" s="6"/>
      <c r="Q333" s="6"/>
    </row>
    <row r="334">
      <c r="A334" s="20"/>
      <c r="B334" s="13"/>
      <c r="C334" s="13"/>
      <c r="D334" s="15"/>
      <c r="E334" s="16"/>
      <c r="F334" s="16"/>
      <c r="G334" s="16"/>
      <c r="H334" s="16"/>
      <c r="I334" s="16"/>
      <c r="J334" s="18"/>
      <c r="K334" s="13"/>
      <c r="L334" s="5"/>
      <c r="O334" s="6"/>
      <c r="Q334" s="6"/>
    </row>
    <row r="335">
      <c r="A335" s="20"/>
      <c r="B335" s="13"/>
      <c r="C335" s="55" t="s">
        <v>22</v>
      </c>
      <c r="D335" s="15">
        <f>D321-D330</f>
        <v>0</v>
      </c>
      <c r="E335" s="16"/>
      <c r="F335" s="16"/>
      <c r="G335" s="16"/>
      <c r="H335" s="56" t="s">
        <v>24</v>
      </c>
      <c r="I335" s="24"/>
      <c r="J335" s="18" t="str">
        <f>J333/D335</f>
        <v>#DIV/0!</v>
      </c>
      <c r="K335" s="13"/>
      <c r="L335" s="5"/>
      <c r="O335" s="6"/>
      <c r="Q335" s="6"/>
    </row>
    <row r="336">
      <c r="A336" s="20"/>
      <c r="B336" s="13"/>
      <c r="C336" s="13"/>
      <c r="D336" s="15"/>
      <c r="E336" s="16"/>
      <c r="F336" s="16"/>
      <c r="G336" s="16"/>
      <c r="H336" s="57" t="s">
        <v>25</v>
      </c>
      <c r="I336" s="24"/>
      <c r="J336" s="18">
        <f>J333/D330</f>
        <v>76.24386792</v>
      </c>
      <c r="K336" s="13"/>
      <c r="L336" s="5"/>
      <c r="O336" s="6"/>
      <c r="Q336" s="6"/>
    </row>
    <row r="337">
      <c r="A337" s="20"/>
      <c r="B337" s="13"/>
      <c r="C337" s="13"/>
      <c r="D337" s="15"/>
      <c r="E337" s="16"/>
      <c r="F337" s="16"/>
      <c r="G337" s="16"/>
      <c r="H337" s="58"/>
      <c r="I337" s="58"/>
      <c r="J337" s="18"/>
      <c r="K337" s="13"/>
      <c r="L337" s="5"/>
      <c r="O337" s="6"/>
      <c r="Q337" s="6"/>
    </row>
    <row r="338" hidden="1">
      <c r="A338" s="20"/>
      <c r="B338" s="13"/>
      <c r="C338" s="13"/>
      <c r="D338" s="15"/>
      <c r="E338" s="16"/>
      <c r="F338" s="65"/>
      <c r="G338" s="66"/>
      <c r="H338" s="66"/>
      <c r="I338" s="67"/>
      <c r="J338" s="68"/>
      <c r="K338" s="13"/>
      <c r="L338" s="5"/>
      <c r="O338" s="6"/>
      <c r="Q338" s="6"/>
    </row>
    <row r="339" hidden="1">
      <c r="A339" s="20"/>
      <c r="B339" s="13"/>
      <c r="C339" s="13"/>
      <c r="D339" s="15"/>
      <c r="E339" s="16"/>
      <c r="F339" s="69"/>
      <c r="G339" s="66"/>
      <c r="H339" s="66"/>
      <c r="I339" s="67"/>
      <c r="J339" s="68"/>
      <c r="K339" s="13"/>
      <c r="L339" s="5"/>
      <c r="O339" s="6"/>
      <c r="Q339" s="6"/>
    </row>
    <row r="340">
      <c r="A340" s="20"/>
      <c r="B340" s="13"/>
      <c r="C340" s="13"/>
      <c r="D340" s="15"/>
      <c r="E340" s="16"/>
      <c r="F340" s="70"/>
      <c r="G340" s="70"/>
      <c r="H340" s="51" t="s">
        <v>36</v>
      </c>
      <c r="I340" s="24"/>
      <c r="J340" s="25">
        <f>J333+J338+J339</f>
        <v>8081.85</v>
      </c>
      <c r="K340" s="16"/>
      <c r="L340" s="5"/>
      <c r="O340" s="6"/>
      <c r="Q340" s="6"/>
    </row>
    <row r="341">
      <c r="A341" s="20"/>
      <c r="B341" s="13"/>
      <c r="C341" s="58" t="str">
        <f>IFERROR("Não sobrou",CONCATENATE("Parceria Mauro -&gt; Sobrou ",#REF!," cabeças, custando: ",TEXT(#REF!, "R$#,##")))</f>
        <v>Não sobrou</v>
      </c>
      <c r="J341" s="29"/>
      <c r="K341" s="13"/>
      <c r="L341" s="5"/>
      <c r="O341" s="6"/>
      <c r="Q341" s="6"/>
    </row>
    <row r="342">
      <c r="A342" s="20"/>
      <c r="B342" s="13"/>
      <c r="C342" s="58"/>
      <c r="D342" s="58"/>
      <c r="E342" s="58"/>
      <c r="F342" s="58"/>
      <c r="G342" s="58"/>
      <c r="H342" s="58"/>
      <c r="I342" s="58"/>
      <c r="J342" s="76"/>
      <c r="K342" s="13"/>
      <c r="L342" s="5"/>
      <c r="O342" s="6"/>
      <c r="Q342" s="6"/>
    </row>
    <row r="343">
      <c r="A343" s="59"/>
      <c r="B343" s="60"/>
      <c r="C343" s="61" t="str">
        <f>IF(J340&gt;0,CONCATENATE("Total de Lucro Parceria -&gt;: ",TEXT(J340, "R$#.##0,00")),"Não houve lucro")</f>
        <v>Total de Lucro Parceria -&gt;: R$8.081,85000</v>
      </c>
      <c r="D343" s="62"/>
      <c r="E343" s="62"/>
      <c r="F343" s="62"/>
      <c r="G343" s="62"/>
      <c r="H343" s="62"/>
      <c r="I343" s="62"/>
      <c r="J343" s="63"/>
      <c r="K343" s="13"/>
      <c r="L343" s="5"/>
      <c r="O343" s="6"/>
      <c r="Q343" s="6"/>
    </row>
    <row r="344">
      <c r="A344" s="13"/>
      <c r="B344" s="13"/>
      <c r="C344" s="58"/>
      <c r="D344" s="58"/>
      <c r="E344" s="58"/>
      <c r="F344" s="58"/>
      <c r="G344" s="58"/>
      <c r="H344" s="58"/>
      <c r="I344" s="58"/>
      <c r="J344" s="58"/>
      <c r="K344" s="13"/>
      <c r="L344" s="5"/>
      <c r="O344" s="6"/>
      <c r="Q344" s="6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5"/>
      <c r="O345" s="6"/>
      <c r="Q345" s="6"/>
    </row>
    <row r="346">
      <c r="A346" s="1" t="s">
        <v>77</v>
      </c>
      <c r="B346" s="2"/>
      <c r="C346" s="2"/>
      <c r="D346" s="2"/>
      <c r="E346" s="2"/>
      <c r="F346" s="2"/>
      <c r="G346" s="2"/>
      <c r="H346" s="2"/>
      <c r="I346" s="2"/>
      <c r="J346" s="3"/>
      <c r="K346" s="13"/>
      <c r="L346" s="5"/>
      <c r="O346" s="6"/>
      <c r="Q346" s="6"/>
    </row>
    <row r="347">
      <c r="A347" s="7" t="s">
        <v>1</v>
      </c>
      <c r="B347" s="8" t="s">
        <v>2</v>
      </c>
      <c r="C347" s="8" t="s">
        <v>3</v>
      </c>
      <c r="D347" s="9" t="s">
        <v>4</v>
      </c>
      <c r="E347" s="10" t="s">
        <v>5</v>
      </c>
      <c r="F347" s="10" t="s">
        <v>6</v>
      </c>
      <c r="G347" s="10" t="s">
        <v>7</v>
      </c>
      <c r="H347" s="10" t="s">
        <v>8</v>
      </c>
      <c r="I347" s="10" t="s">
        <v>9</v>
      </c>
      <c r="J347" s="11" t="s">
        <v>10</v>
      </c>
      <c r="K347" s="13"/>
      <c r="L347" s="5"/>
      <c r="O347" s="6"/>
      <c r="Q347" s="6"/>
    </row>
    <row r="348">
      <c r="A348" s="12">
        <v>46156.0</v>
      </c>
      <c r="B348" s="13" t="s">
        <v>11</v>
      </c>
      <c r="C348" s="14" t="s">
        <v>22</v>
      </c>
      <c r="D348" s="35">
        <v>7.0</v>
      </c>
      <c r="E348" s="36">
        <v>2720.0</v>
      </c>
      <c r="F348" s="16">
        <f t="shared" ref="F348:F356" si="51">D348*E348</f>
        <v>19040</v>
      </c>
      <c r="G348" s="6"/>
      <c r="H348" s="16"/>
      <c r="I348" s="16"/>
      <c r="J348" s="18">
        <f t="shared" ref="J348:J356" si="52">F348+G348+H348+I348</f>
        <v>19040</v>
      </c>
      <c r="K348" s="13"/>
      <c r="L348" s="5"/>
      <c r="O348" s="6"/>
      <c r="Q348" s="6"/>
    </row>
    <row r="349">
      <c r="A349" s="12">
        <v>46156.0</v>
      </c>
      <c r="B349" s="13" t="s">
        <v>11</v>
      </c>
      <c r="C349" s="14" t="s">
        <v>22</v>
      </c>
      <c r="D349" s="15">
        <v>12.0</v>
      </c>
      <c r="E349" s="80">
        <v>2473.29615384615</v>
      </c>
      <c r="F349" s="16">
        <f t="shared" si="51"/>
        <v>29679.55385</v>
      </c>
      <c r="G349" s="6"/>
      <c r="H349" s="16"/>
      <c r="I349" s="16"/>
      <c r="J349" s="18">
        <f t="shared" si="52"/>
        <v>29679.55385</v>
      </c>
      <c r="K349" s="13"/>
      <c r="L349" s="5"/>
      <c r="O349" s="6"/>
      <c r="Q349" s="6"/>
    </row>
    <row r="350">
      <c r="A350" s="12">
        <v>46156.0</v>
      </c>
      <c r="B350" s="13" t="s">
        <v>11</v>
      </c>
      <c r="C350" s="14" t="s">
        <v>50</v>
      </c>
      <c r="D350" s="15">
        <v>79.0</v>
      </c>
      <c r="E350" s="16">
        <v>3050.0</v>
      </c>
      <c r="F350" s="16">
        <f t="shared" si="51"/>
        <v>240950</v>
      </c>
      <c r="G350" s="6">
        <f t="shared" ref="G350:G351" si="53">(6900/90)*D350</f>
        <v>6056.666667</v>
      </c>
      <c r="H350" s="16"/>
      <c r="I350" s="16"/>
      <c r="J350" s="18">
        <f t="shared" si="52"/>
        <v>247006.6667</v>
      </c>
      <c r="K350" s="13"/>
      <c r="L350" s="5"/>
      <c r="O350" s="6"/>
      <c r="Q350" s="6"/>
    </row>
    <row r="351">
      <c r="A351" s="12">
        <v>46156.0</v>
      </c>
      <c r="B351" s="13" t="s">
        <v>11</v>
      </c>
      <c r="C351" s="14" t="s">
        <v>50</v>
      </c>
      <c r="D351" s="15">
        <v>11.0</v>
      </c>
      <c r="E351" s="16">
        <v>3150.0</v>
      </c>
      <c r="F351" s="16">
        <f t="shared" si="51"/>
        <v>34650</v>
      </c>
      <c r="G351" s="6">
        <f t="shared" si="53"/>
        <v>843.3333333</v>
      </c>
      <c r="H351" s="16"/>
      <c r="I351" s="16"/>
      <c r="J351" s="18">
        <f t="shared" si="52"/>
        <v>35493.33333</v>
      </c>
      <c r="K351" s="13"/>
      <c r="L351" s="5"/>
      <c r="O351" s="6"/>
      <c r="Q351" s="6"/>
    </row>
    <row r="352">
      <c r="A352" s="12">
        <v>46163.0</v>
      </c>
      <c r="B352" s="13" t="s">
        <v>11</v>
      </c>
      <c r="C352" s="14" t="s">
        <v>78</v>
      </c>
      <c r="D352" s="15">
        <v>8.0</v>
      </c>
      <c r="E352" s="16">
        <v>2850.0</v>
      </c>
      <c r="F352" s="16">
        <f t="shared" si="51"/>
        <v>22800</v>
      </c>
      <c r="G352" s="6">
        <f t="shared" ref="G352:G354" si="54">(1834/30)*D352</f>
        <v>489.0666667</v>
      </c>
      <c r="H352" s="16"/>
      <c r="I352" s="16"/>
      <c r="J352" s="18">
        <f t="shared" si="52"/>
        <v>23289.06667</v>
      </c>
      <c r="K352" s="13"/>
      <c r="L352" s="5"/>
      <c r="O352" s="6"/>
      <c r="Q352" s="6"/>
    </row>
    <row r="353">
      <c r="A353" s="12">
        <v>46163.0</v>
      </c>
      <c r="B353" s="13" t="s">
        <v>11</v>
      </c>
      <c r="C353" s="14" t="s">
        <v>79</v>
      </c>
      <c r="D353" s="15">
        <v>4.0</v>
      </c>
      <c r="E353" s="16">
        <v>2800.0</v>
      </c>
      <c r="F353" s="16">
        <f t="shared" si="51"/>
        <v>11200</v>
      </c>
      <c r="G353" s="6">
        <f t="shared" si="54"/>
        <v>244.5333333</v>
      </c>
      <c r="H353" s="16"/>
      <c r="I353" s="16"/>
      <c r="J353" s="18">
        <f t="shared" si="52"/>
        <v>11444.53333</v>
      </c>
      <c r="K353" s="13"/>
      <c r="L353" s="5"/>
      <c r="O353" s="6"/>
      <c r="Q353" s="6"/>
    </row>
    <row r="354">
      <c r="A354" s="12">
        <v>46163.0</v>
      </c>
      <c r="B354" s="13" t="s">
        <v>11</v>
      </c>
      <c r="C354" s="14" t="s">
        <v>80</v>
      </c>
      <c r="D354" s="15">
        <v>3.0</v>
      </c>
      <c r="E354" s="16">
        <v>2800.0</v>
      </c>
      <c r="F354" s="16">
        <f t="shared" si="51"/>
        <v>8400</v>
      </c>
      <c r="G354" s="6">
        <f t="shared" si="54"/>
        <v>183.4</v>
      </c>
      <c r="H354" s="16"/>
      <c r="I354" s="16"/>
      <c r="J354" s="18">
        <f t="shared" si="52"/>
        <v>8583.4</v>
      </c>
      <c r="K354" s="13"/>
      <c r="L354" s="5"/>
      <c r="O354" s="6"/>
      <c r="Q354" s="6"/>
    </row>
    <row r="355">
      <c r="A355" s="12">
        <v>46168.0</v>
      </c>
      <c r="B355" s="13" t="s">
        <v>11</v>
      </c>
      <c r="C355" s="14" t="s">
        <v>81</v>
      </c>
      <c r="D355" s="15">
        <v>18.0</v>
      </c>
      <c r="E355" s="16">
        <v>2500.0</v>
      </c>
      <c r="F355" s="16">
        <f t="shared" si="51"/>
        <v>45000</v>
      </c>
      <c r="G355" s="6"/>
      <c r="H355" s="16"/>
      <c r="I355" s="16"/>
      <c r="J355" s="18">
        <f t="shared" si="52"/>
        <v>45000</v>
      </c>
      <c r="K355" s="13"/>
      <c r="L355" s="5"/>
      <c r="O355" s="6"/>
      <c r="Q355" s="6"/>
    </row>
    <row r="356">
      <c r="A356" s="12">
        <v>46176.0</v>
      </c>
      <c r="B356" s="13" t="s">
        <v>11</v>
      </c>
      <c r="C356" s="14" t="s">
        <v>82</v>
      </c>
      <c r="D356" s="15">
        <v>37.0</v>
      </c>
      <c r="E356" s="16">
        <v>2750.0</v>
      </c>
      <c r="F356" s="16">
        <f t="shared" si="51"/>
        <v>101750</v>
      </c>
      <c r="G356" s="6">
        <f>(210*12)+220</f>
        <v>2740</v>
      </c>
      <c r="H356" s="16">
        <v>555.0</v>
      </c>
      <c r="I356" s="16"/>
      <c r="J356" s="18">
        <f t="shared" si="52"/>
        <v>105045</v>
      </c>
      <c r="K356" s="13"/>
      <c r="L356" s="5"/>
      <c r="O356" s="6"/>
      <c r="Q356" s="6"/>
    </row>
    <row r="357">
      <c r="A357" s="12"/>
      <c r="B357" s="13"/>
      <c r="C357" s="14"/>
      <c r="D357" s="15"/>
      <c r="E357" s="16"/>
      <c r="F357" s="16"/>
      <c r="G357" s="6"/>
      <c r="H357" s="16"/>
      <c r="I357" s="16"/>
      <c r="J357" s="18"/>
      <c r="K357" s="13"/>
      <c r="L357" s="5"/>
      <c r="O357" s="6"/>
      <c r="Q357" s="6"/>
    </row>
    <row r="358">
      <c r="A358" s="12"/>
      <c r="B358" s="13"/>
      <c r="C358" s="13"/>
      <c r="D358" s="15"/>
      <c r="E358" s="19"/>
      <c r="F358" s="16"/>
      <c r="G358" s="16"/>
      <c r="H358" s="16"/>
      <c r="I358" s="16"/>
      <c r="J358" s="18"/>
      <c r="K358" s="13"/>
      <c r="L358" s="5"/>
      <c r="O358" s="6"/>
      <c r="Q358" s="6"/>
    </row>
    <row r="359">
      <c r="A359" s="20"/>
      <c r="B359" s="13"/>
      <c r="C359" s="21" t="s">
        <v>14</v>
      </c>
      <c r="D359" s="22">
        <f>SUM(D348:D358)</f>
        <v>179</v>
      </c>
      <c r="E359" s="16"/>
      <c r="F359" s="16"/>
      <c r="G359" s="16"/>
      <c r="H359" s="23" t="s">
        <v>15</v>
      </c>
      <c r="I359" s="24"/>
      <c r="J359" s="25">
        <f>SUM(J348:J358)</f>
        <v>524581.5538</v>
      </c>
      <c r="K359" s="13"/>
      <c r="L359" s="5"/>
      <c r="O359" s="6"/>
      <c r="Q359" s="6"/>
    </row>
    <row r="360">
      <c r="A360" s="20"/>
      <c r="B360" s="13"/>
      <c r="C360" s="13"/>
      <c r="D360" s="15"/>
      <c r="E360" s="16"/>
      <c r="F360" s="16"/>
      <c r="G360" s="16"/>
      <c r="H360" s="23" t="s">
        <v>16</v>
      </c>
      <c r="I360" s="24"/>
      <c r="J360" s="26">
        <f>J359/D359</f>
        <v>2930.623206</v>
      </c>
      <c r="K360" s="13"/>
      <c r="L360" s="5"/>
      <c r="O360" s="6"/>
      <c r="Q360" s="6"/>
    </row>
    <row r="361">
      <c r="A361" s="20"/>
      <c r="B361" s="13"/>
      <c r="C361" s="13"/>
      <c r="D361" s="15"/>
      <c r="E361" s="16"/>
      <c r="F361" s="16"/>
      <c r="G361" s="16"/>
      <c r="H361" s="16"/>
      <c r="I361" s="16"/>
      <c r="J361" s="18"/>
      <c r="K361" s="13"/>
      <c r="L361" s="5"/>
      <c r="O361" s="6"/>
      <c r="Q361" s="6"/>
    </row>
    <row r="362">
      <c r="A362" s="20"/>
      <c r="B362" s="13"/>
      <c r="C362" s="13"/>
      <c r="D362" s="15"/>
      <c r="E362" s="16"/>
      <c r="F362" s="16"/>
      <c r="G362" s="16"/>
      <c r="H362" s="16"/>
      <c r="I362" s="16"/>
      <c r="J362" s="18"/>
      <c r="K362" s="13"/>
      <c r="L362" s="5"/>
      <c r="O362" s="6"/>
      <c r="Q362" s="6"/>
    </row>
    <row r="363">
      <c r="A363" s="20"/>
      <c r="B363" s="13"/>
      <c r="C363" s="13"/>
      <c r="D363" s="15"/>
      <c r="E363" s="16"/>
      <c r="F363" s="16"/>
      <c r="G363" s="16"/>
      <c r="H363" s="28" t="str">
        <f>CONCATENATE("Temos ",D359," cabeças, custando: ",TEXT(J360, "R$#.###,##"))</f>
        <v>Temos 179 cabeças, custando: R$2.930,62321</v>
      </c>
      <c r="J363" s="29"/>
      <c r="K363" s="13"/>
      <c r="L363" s="5"/>
      <c r="O363" s="6"/>
      <c r="Q363" s="6"/>
    </row>
    <row r="364">
      <c r="A364" s="30" t="s">
        <v>1</v>
      </c>
      <c r="B364" s="31" t="s">
        <v>2</v>
      </c>
      <c r="C364" s="31" t="s">
        <v>3</v>
      </c>
      <c r="D364" s="32" t="s">
        <v>4</v>
      </c>
      <c r="E364" s="33" t="s">
        <v>5</v>
      </c>
      <c r="F364" s="33" t="s">
        <v>6</v>
      </c>
      <c r="G364" s="33" t="s">
        <v>7</v>
      </c>
      <c r="H364" s="33" t="s">
        <v>8</v>
      </c>
      <c r="I364" s="33" t="s">
        <v>17</v>
      </c>
      <c r="J364" s="34" t="s">
        <v>10</v>
      </c>
      <c r="K364" s="13"/>
      <c r="L364" s="5"/>
      <c r="M364" s="13" t="s">
        <v>22</v>
      </c>
      <c r="N364" s="35">
        <v>16.0</v>
      </c>
      <c r="O364" s="36">
        <v>2600.0</v>
      </c>
      <c r="P364" s="16">
        <f t="shared" ref="P364:P365" si="55">N364*O364</f>
        <v>41600</v>
      </c>
      <c r="Q364" s="6"/>
    </row>
    <row r="365">
      <c r="A365" s="12"/>
      <c r="B365" s="13"/>
      <c r="C365" s="13" t="s">
        <v>83</v>
      </c>
      <c r="D365" s="35">
        <v>1.0</v>
      </c>
      <c r="E365" s="36">
        <v>0.0</v>
      </c>
      <c r="F365" s="16">
        <f t="shared" ref="F365:F369" si="56">D365*E365</f>
        <v>0</v>
      </c>
      <c r="G365" s="36"/>
      <c r="H365" s="36"/>
      <c r="I365" s="37">
        <v>0.0</v>
      </c>
      <c r="J365" s="18">
        <f t="shared" ref="J365:J369" si="57">F365+G365+H365+I365</f>
        <v>0</v>
      </c>
      <c r="K365" s="13"/>
      <c r="L365" s="5"/>
      <c r="M365" s="13" t="s">
        <v>22</v>
      </c>
      <c r="N365" s="35">
        <v>8.0</v>
      </c>
      <c r="O365" s="36">
        <v>3500.0</v>
      </c>
      <c r="P365" s="16">
        <f t="shared" si="55"/>
        <v>28000</v>
      </c>
      <c r="Q365" s="6"/>
    </row>
    <row r="366">
      <c r="A366" s="12">
        <v>46171.0</v>
      </c>
      <c r="B366" s="13" t="s">
        <v>20</v>
      </c>
      <c r="C366" s="13" t="s">
        <v>57</v>
      </c>
      <c r="D366" s="35">
        <v>61.0</v>
      </c>
      <c r="E366" s="36">
        <v>3357.2459</v>
      </c>
      <c r="F366" s="16">
        <f t="shared" si="56"/>
        <v>204791.9999</v>
      </c>
      <c r="G366" s="36"/>
      <c r="H366" s="36"/>
      <c r="I366" s="37">
        <f t="shared" ref="I366:I367" si="58">-4.85*D366</f>
        <v>-295.85</v>
      </c>
      <c r="J366" s="18">
        <f t="shared" si="57"/>
        <v>204496.1499</v>
      </c>
      <c r="K366" s="13"/>
      <c r="L366" s="5"/>
      <c r="N366" s="87">
        <f>SUM(N364:N365)</f>
        <v>24</v>
      </c>
      <c r="O366" s="6"/>
      <c r="P366" s="6">
        <f>SUM(P364:P365)</f>
        <v>69600</v>
      </c>
      <c r="Q366" s="6"/>
    </row>
    <row r="367">
      <c r="A367" s="12">
        <v>46178.0</v>
      </c>
      <c r="B367" s="13" t="s">
        <v>20</v>
      </c>
      <c r="C367" s="13" t="s">
        <v>84</v>
      </c>
      <c r="D367" s="35">
        <v>93.0</v>
      </c>
      <c r="E367" s="36">
        <v>3000.0</v>
      </c>
      <c r="F367" s="16">
        <f t="shared" si="56"/>
        <v>279000</v>
      </c>
      <c r="G367" s="36"/>
      <c r="H367" s="37">
        <f>-93*10</f>
        <v>-930</v>
      </c>
      <c r="I367" s="37">
        <f t="shared" si="58"/>
        <v>-451.05</v>
      </c>
      <c r="J367" s="18">
        <f t="shared" si="57"/>
        <v>277618.95</v>
      </c>
      <c r="K367" s="13"/>
      <c r="L367" s="5"/>
      <c r="O367" s="6"/>
      <c r="P367" s="6">
        <f>P366/N366</f>
        <v>2900</v>
      </c>
      <c r="Q367" s="6"/>
    </row>
    <row r="368">
      <c r="A368" s="12">
        <v>46178.0</v>
      </c>
      <c r="B368" s="13" t="s">
        <v>38</v>
      </c>
      <c r="C368" s="13" t="s">
        <v>22</v>
      </c>
      <c r="D368" s="35">
        <v>16.0</v>
      </c>
      <c r="E368" s="36">
        <v>2600.0</v>
      </c>
      <c r="F368" s="16">
        <f t="shared" si="56"/>
        <v>41600</v>
      </c>
      <c r="G368" s="36"/>
      <c r="H368" s="36"/>
      <c r="I368" s="37"/>
      <c r="J368" s="18">
        <f t="shared" si="57"/>
        <v>41600</v>
      </c>
      <c r="K368" s="13"/>
      <c r="L368" s="5"/>
      <c r="O368" s="6"/>
      <c r="Q368" s="6"/>
    </row>
    <row r="369">
      <c r="A369" s="12">
        <v>46178.0</v>
      </c>
      <c r="B369" s="13" t="s">
        <v>38</v>
      </c>
      <c r="C369" s="13" t="s">
        <v>22</v>
      </c>
      <c r="D369" s="35">
        <v>8.0</v>
      </c>
      <c r="E369" s="36">
        <v>3500.0</v>
      </c>
      <c r="F369" s="16">
        <f t="shared" si="56"/>
        <v>28000</v>
      </c>
      <c r="G369" s="36"/>
      <c r="H369" s="36"/>
      <c r="I369" s="37"/>
      <c r="J369" s="18">
        <f t="shared" si="57"/>
        <v>28000</v>
      </c>
      <c r="K369" s="13"/>
      <c r="L369" s="5"/>
      <c r="O369" s="6"/>
      <c r="Q369" s="6"/>
    </row>
    <row r="370">
      <c r="A370" s="12"/>
      <c r="B370" s="13"/>
      <c r="C370" s="13"/>
      <c r="D370" s="15"/>
      <c r="E370" s="16"/>
      <c r="F370" s="16"/>
      <c r="G370" s="16"/>
      <c r="H370" s="16"/>
      <c r="I370" s="16"/>
      <c r="J370" s="18"/>
      <c r="K370" s="13"/>
      <c r="L370" s="5"/>
      <c r="O370" s="6"/>
      <c r="Q370" s="6"/>
    </row>
    <row r="371">
      <c r="A371" s="20"/>
      <c r="B371" s="13"/>
      <c r="C371" s="50" t="s">
        <v>14</v>
      </c>
      <c r="D371" s="22">
        <f>SUM(D365:D370)</f>
        <v>179</v>
      </c>
      <c r="E371" s="16"/>
      <c r="F371" s="16"/>
      <c r="G371" s="16"/>
      <c r="H371" s="51" t="s">
        <v>10</v>
      </c>
      <c r="I371" s="24"/>
      <c r="J371" s="25">
        <f>SUM(J365:J370)</f>
        <v>551715.0999</v>
      </c>
      <c r="K371" s="13"/>
      <c r="L371" s="5"/>
      <c r="O371" s="6"/>
      <c r="Q371" s="6"/>
    </row>
    <row r="372">
      <c r="A372" s="20"/>
      <c r="B372" s="13"/>
      <c r="C372" s="13"/>
      <c r="D372" s="15"/>
      <c r="E372" s="16"/>
      <c r="F372" s="16"/>
      <c r="G372" s="16"/>
      <c r="H372" s="51" t="s">
        <v>16</v>
      </c>
      <c r="I372" s="24"/>
      <c r="J372" s="26">
        <f>J371/D371</f>
        <v>3082.207262</v>
      </c>
      <c r="K372" s="13"/>
      <c r="L372" s="5"/>
      <c r="O372" s="6"/>
      <c r="Q372" s="6"/>
    </row>
    <row r="373">
      <c r="A373" s="20"/>
      <c r="B373" s="13"/>
      <c r="C373" s="13"/>
      <c r="D373" s="15"/>
      <c r="E373" s="16"/>
      <c r="F373" s="16"/>
      <c r="G373" s="16"/>
      <c r="H373" s="16"/>
      <c r="I373" s="16"/>
      <c r="J373" s="18"/>
      <c r="K373" s="13"/>
      <c r="L373" s="5"/>
      <c r="O373" s="6"/>
      <c r="Q373" s="6"/>
    </row>
    <row r="374">
      <c r="A374" s="20"/>
      <c r="B374" s="13"/>
      <c r="C374" s="13"/>
      <c r="D374" s="15"/>
      <c r="E374" s="16"/>
      <c r="F374" s="16"/>
      <c r="G374" s="16"/>
      <c r="H374" s="51" t="s">
        <v>23</v>
      </c>
      <c r="I374" s="24"/>
      <c r="J374" s="25">
        <f>J371-J359</f>
        <v>27133.54605</v>
      </c>
      <c r="K374" s="13"/>
      <c r="L374" s="5"/>
      <c r="O374" s="6"/>
      <c r="Q374" s="6"/>
    </row>
    <row r="375">
      <c r="A375" s="20"/>
      <c r="B375" s="13"/>
      <c r="C375" s="13"/>
      <c r="D375" s="15"/>
      <c r="E375" s="16"/>
      <c r="F375" s="16"/>
      <c r="G375" s="16"/>
      <c r="H375" s="16"/>
      <c r="I375" s="16"/>
      <c r="J375" s="18"/>
      <c r="K375" s="13"/>
      <c r="L375" s="5"/>
      <c r="O375" s="6"/>
      <c r="Q375" s="6"/>
    </row>
    <row r="376">
      <c r="A376" s="20"/>
      <c r="B376" s="13"/>
      <c r="C376" s="55" t="s">
        <v>22</v>
      </c>
      <c r="D376" s="15">
        <f>D359-D371</f>
        <v>0</v>
      </c>
      <c r="E376" s="16"/>
      <c r="F376" s="16"/>
      <c r="G376" s="16"/>
      <c r="H376" s="56" t="s">
        <v>24</v>
      </c>
      <c r="I376" s="24"/>
      <c r="J376" s="18" t="str">
        <f>J374/D376</f>
        <v>#DIV/0!</v>
      </c>
      <c r="K376" s="13"/>
      <c r="L376" s="5"/>
      <c r="O376" s="6"/>
      <c r="Q376" s="6"/>
    </row>
    <row r="377">
      <c r="A377" s="20"/>
      <c r="B377" s="13"/>
      <c r="C377" s="13"/>
      <c r="D377" s="15"/>
      <c r="E377" s="16"/>
      <c r="F377" s="16"/>
      <c r="G377" s="16"/>
      <c r="H377" s="57" t="s">
        <v>25</v>
      </c>
      <c r="I377" s="24"/>
      <c r="J377" s="18">
        <f>J374/D371</f>
        <v>151.5840562</v>
      </c>
      <c r="K377" s="13"/>
      <c r="L377" s="5"/>
      <c r="O377" s="6"/>
      <c r="Q377" s="6"/>
    </row>
    <row r="378">
      <c r="A378" s="20"/>
      <c r="B378" s="13"/>
      <c r="C378" s="13"/>
      <c r="D378" s="15"/>
      <c r="E378" s="16"/>
      <c r="F378" s="16"/>
      <c r="G378" s="16"/>
      <c r="H378" s="58"/>
      <c r="I378" s="58"/>
      <c r="J378" s="18"/>
      <c r="K378" s="13"/>
      <c r="L378" s="5"/>
      <c r="O378" s="6"/>
      <c r="Q378" s="6"/>
    </row>
    <row r="379">
      <c r="A379" s="20"/>
      <c r="B379" s="13"/>
      <c r="C379" s="13"/>
      <c r="D379" s="15"/>
      <c r="E379" s="16"/>
      <c r="F379" s="65" t="s">
        <v>85</v>
      </c>
      <c r="G379" s="66"/>
      <c r="H379" s="66"/>
      <c r="I379" s="67"/>
      <c r="J379" s="68">
        <f>-2000</f>
        <v>-2000</v>
      </c>
      <c r="K379" s="13"/>
      <c r="L379" s="5"/>
      <c r="O379" s="6"/>
      <c r="Q379" s="6"/>
    </row>
    <row r="380">
      <c r="A380" s="20"/>
      <c r="B380" s="13"/>
      <c r="C380" s="13"/>
      <c r="D380" s="15"/>
      <c r="E380" s="16"/>
      <c r="F380" s="69"/>
      <c r="G380" s="66"/>
      <c r="H380" s="66"/>
      <c r="I380" s="67"/>
      <c r="J380" s="68"/>
      <c r="K380" s="13"/>
      <c r="L380" s="5"/>
      <c r="O380" s="6"/>
      <c r="Q380" s="6"/>
    </row>
    <row r="381">
      <c r="A381" s="20"/>
      <c r="B381" s="13"/>
      <c r="C381" s="13"/>
      <c r="D381" s="15"/>
      <c r="E381" s="16"/>
      <c r="F381" s="70"/>
      <c r="G381" s="70"/>
      <c r="H381" s="51" t="s">
        <v>36</v>
      </c>
      <c r="I381" s="24"/>
      <c r="J381" s="25">
        <f>J374+J379+J380</f>
        <v>25133.54605</v>
      </c>
      <c r="K381" s="16"/>
      <c r="L381" s="5"/>
      <c r="O381" s="6"/>
      <c r="Q381" s="6"/>
    </row>
    <row r="382">
      <c r="A382" s="20"/>
      <c r="B382" s="13"/>
      <c r="C382" s="58" t="str">
        <f>IFERROR("Não sobrou",CONCATENATE("Parceria Mauro -&gt; Sobrou ",#REF!," cabeças, custando: ",TEXT(#REF!, "R$#,##")))</f>
        <v>Não sobrou</v>
      </c>
      <c r="J382" s="29"/>
      <c r="K382" s="13"/>
      <c r="L382" s="5"/>
      <c r="O382" s="6"/>
      <c r="Q382" s="6"/>
    </row>
    <row r="383">
      <c r="A383" s="20"/>
      <c r="B383" s="13"/>
      <c r="C383" s="58"/>
      <c r="D383" s="58"/>
      <c r="E383" s="58"/>
      <c r="F383" s="58"/>
      <c r="G383" s="58"/>
      <c r="H383" s="58"/>
      <c r="I383" s="58"/>
      <c r="J383" s="76"/>
      <c r="K383" s="13"/>
      <c r="L383" s="5"/>
      <c r="O383" s="6"/>
      <c r="Q383" s="6"/>
    </row>
    <row r="384">
      <c r="A384" s="59"/>
      <c r="B384" s="60"/>
      <c r="C384" s="61" t="str">
        <f>IF(J381&gt;0,CONCATENATE("Total de Lucro Parceria -&gt;: ",TEXT(J381, "R$#.##0,00")),"Não houve lucro")</f>
        <v>Total de Lucro Parceria -&gt;: R$25.133,54605</v>
      </c>
      <c r="D384" s="62"/>
      <c r="E384" s="62"/>
      <c r="F384" s="62"/>
      <c r="G384" s="62"/>
      <c r="H384" s="62"/>
      <c r="I384" s="62"/>
      <c r="J384" s="63"/>
      <c r="K384" s="13"/>
      <c r="L384" s="5"/>
      <c r="O384" s="6"/>
      <c r="Q384" s="6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5"/>
      <c r="O385" s="6"/>
      <c r="Q385" s="6"/>
    </row>
    <row r="386">
      <c r="A386" s="1" t="s">
        <v>86</v>
      </c>
      <c r="B386" s="2"/>
      <c r="C386" s="2"/>
      <c r="D386" s="2"/>
      <c r="E386" s="2"/>
      <c r="F386" s="2"/>
      <c r="G386" s="2"/>
      <c r="H386" s="2"/>
      <c r="I386" s="2"/>
      <c r="J386" s="3"/>
      <c r="K386" s="13"/>
      <c r="L386" s="5"/>
      <c r="O386" s="6"/>
      <c r="Q386" s="6"/>
    </row>
    <row r="387">
      <c r="A387" s="7" t="s">
        <v>1</v>
      </c>
      <c r="B387" s="8" t="s">
        <v>2</v>
      </c>
      <c r="C387" s="8" t="s">
        <v>3</v>
      </c>
      <c r="D387" s="9" t="s">
        <v>4</v>
      </c>
      <c r="E387" s="10" t="s">
        <v>5</v>
      </c>
      <c r="F387" s="10" t="s">
        <v>6</v>
      </c>
      <c r="G387" s="10" t="s">
        <v>7</v>
      </c>
      <c r="H387" s="10" t="s">
        <v>8</v>
      </c>
      <c r="I387" s="10" t="s">
        <v>9</v>
      </c>
      <c r="J387" s="11" t="s">
        <v>10</v>
      </c>
      <c r="K387" s="13"/>
      <c r="L387" s="5"/>
      <c r="O387" s="6"/>
      <c r="Q387" s="6"/>
    </row>
    <row r="388">
      <c r="A388" s="12">
        <v>46163.0</v>
      </c>
      <c r="B388" s="13" t="s">
        <v>11</v>
      </c>
      <c r="C388" s="14" t="s">
        <v>78</v>
      </c>
      <c r="D388" s="35">
        <v>11.0</v>
      </c>
      <c r="E388" s="36">
        <v>2050.0</v>
      </c>
      <c r="F388" s="16">
        <f t="shared" ref="F388:F390" si="59">D388*E388</f>
        <v>22550</v>
      </c>
      <c r="G388" s="6">
        <f t="shared" ref="G388:G389" si="60">(1834/30)*D388</f>
        <v>672.4666667</v>
      </c>
      <c r="H388" s="16"/>
      <c r="I388" s="16"/>
      <c r="J388" s="18">
        <f t="shared" ref="J388:J390" si="61">F388+G388+H388+I388</f>
        <v>23222.46667</v>
      </c>
      <c r="K388" s="13"/>
      <c r="L388" s="5"/>
      <c r="M388" s="6">
        <f>J381+J411</f>
        <v>28188.94605</v>
      </c>
      <c r="O388" s="6"/>
      <c r="Q388" s="6"/>
    </row>
    <row r="389">
      <c r="A389" s="12">
        <v>46163.0</v>
      </c>
      <c r="B389" s="13" t="s">
        <v>11</v>
      </c>
      <c r="C389" s="14" t="s">
        <v>80</v>
      </c>
      <c r="D389" s="15">
        <v>4.0</v>
      </c>
      <c r="E389" s="36">
        <v>2000.0</v>
      </c>
      <c r="F389" s="16">
        <f t="shared" si="59"/>
        <v>8000</v>
      </c>
      <c r="G389" s="6">
        <f t="shared" si="60"/>
        <v>244.5333333</v>
      </c>
      <c r="H389" s="16"/>
      <c r="I389" s="16"/>
      <c r="J389" s="18">
        <f t="shared" si="61"/>
        <v>8244.533333</v>
      </c>
      <c r="K389" s="13"/>
      <c r="L389" s="5"/>
      <c r="O389" s="6"/>
      <c r="Q389" s="6"/>
    </row>
    <row r="390">
      <c r="A390" s="12">
        <v>46178.0</v>
      </c>
      <c r="B390" s="13" t="s">
        <v>11</v>
      </c>
      <c r="C390" s="14" t="s">
        <v>70</v>
      </c>
      <c r="D390" s="15">
        <v>1.0</v>
      </c>
      <c r="E390" s="36">
        <v>2200.0</v>
      </c>
      <c r="F390" s="16">
        <f t="shared" si="59"/>
        <v>2200</v>
      </c>
      <c r="G390" s="6"/>
      <c r="H390" s="16"/>
      <c r="I390" s="16"/>
      <c r="J390" s="18">
        <f t="shared" si="61"/>
        <v>2200</v>
      </c>
      <c r="K390" s="13"/>
      <c r="L390" s="5"/>
      <c r="M390" s="6">
        <f>M388/2</f>
        <v>14094.47303</v>
      </c>
      <c r="O390" s="6"/>
      <c r="Q390" s="6"/>
    </row>
    <row r="391">
      <c r="A391" s="12"/>
      <c r="B391" s="13"/>
      <c r="C391" s="13"/>
      <c r="D391" s="15"/>
      <c r="E391" s="19"/>
      <c r="F391" s="16"/>
      <c r="G391" s="16"/>
      <c r="H391" s="16"/>
      <c r="I391" s="16"/>
      <c r="J391" s="18"/>
      <c r="K391" s="13"/>
      <c r="L391" s="5"/>
      <c r="O391" s="6"/>
      <c r="Q391" s="6"/>
    </row>
    <row r="392">
      <c r="A392" s="20"/>
      <c r="B392" s="13"/>
      <c r="C392" s="21" t="s">
        <v>14</v>
      </c>
      <c r="D392" s="22">
        <f>SUM(D388:D390)</f>
        <v>16</v>
      </c>
      <c r="E392" s="16"/>
      <c r="F392" s="16"/>
      <c r="G392" s="16"/>
      <c r="H392" s="23" t="s">
        <v>15</v>
      </c>
      <c r="I392" s="24"/>
      <c r="J392" s="25">
        <f>SUM(J388:J390)</f>
        <v>33667</v>
      </c>
      <c r="K392" s="13"/>
      <c r="L392" s="5"/>
      <c r="O392" s="6"/>
      <c r="Q392" s="6"/>
    </row>
    <row r="393">
      <c r="A393" s="20"/>
      <c r="B393" s="13"/>
      <c r="C393" s="13"/>
      <c r="D393" s="15"/>
      <c r="E393" s="16"/>
      <c r="F393" s="16"/>
      <c r="G393" s="16"/>
      <c r="H393" s="23" t="s">
        <v>16</v>
      </c>
      <c r="I393" s="24"/>
      <c r="J393" s="26">
        <f>J392/D392</f>
        <v>2104.1875</v>
      </c>
      <c r="K393" s="13"/>
      <c r="L393" s="5"/>
      <c r="O393" s="6"/>
      <c r="Q393" s="6"/>
    </row>
    <row r="394">
      <c r="A394" s="20"/>
      <c r="B394" s="13"/>
      <c r="C394" s="13"/>
      <c r="D394" s="15"/>
      <c r="E394" s="16"/>
      <c r="F394" s="16"/>
      <c r="G394" s="16"/>
      <c r="H394" s="16"/>
      <c r="I394" s="16"/>
      <c r="J394" s="18"/>
      <c r="K394" s="13"/>
      <c r="L394" s="5"/>
      <c r="O394" s="6"/>
      <c r="Q394" s="6"/>
    </row>
    <row r="395">
      <c r="A395" s="20"/>
      <c r="B395" s="13"/>
      <c r="C395" s="13"/>
      <c r="D395" s="15"/>
      <c r="E395" s="16"/>
      <c r="F395" s="16"/>
      <c r="G395" s="16"/>
      <c r="H395" s="16"/>
      <c r="I395" s="16"/>
      <c r="J395" s="18"/>
      <c r="K395" s="13"/>
      <c r="L395" s="5"/>
      <c r="O395" s="6"/>
      <c r="Q395" s="6"/>
    </row>
    <row r="396">
      <c r="A396" s="20"/>
      <c r="B396" s="13"/>
      <c r="C396" s="13"/>
      <c r="D396" s="15"/>
      <c r="E396" s="16"/>
      <c r="F396" s="16"/>
      <c r="G396" s="16"/>
      <c r="H396" s="28" t="str">
        <f>CONCATENATE("Temos ",D392," cabeças, custando: ",TEXT(J393, "R$#,##"))</f>
        <v>Temos 16 cabeças, custando: R$2.104</v>
      </c>
      <c r="J396" s="29"/>
      <c r="K396" s="13"/>
      <c r="L396" s="5"/>
      <c r="O396" s="6"/>
      <c r="Q396" s="6"/>
    </row>
    <row r="397">
      <c r="A397" s="30" t="s">
        <v>1</v>
      </c>
      <c r="B397" s="31" t="s">
        <v>2</v>
      </c>
      <c r="C397" s="31" t="s">
        <v>3</v>
      </c>
      <c r="D397" s="32" t="s">
        <v>4</v>
      </c>
      <c r="E397" s="33" t="s">
        <v>5</v>
      </c>
      <c r="F397" s="33" t="s">
        <v>6</v>
      </c>
      <c r="G397" s="33" t="s">
        <v>7</v>
      </c>
      <c r="H397" s="33" t="s">
        <v>8</v>
      </c>
      <c r="I397" s="33" t="s">
        <v>17</v>
      </c>
      <c r="J397" s="34" t="s">
        <v>10</v>
      </c>
      <c r="K397" s="13"/>
      <c r="L397" s="5"/>
      <c r="O397" s="6"/>
      <c r="Q397" s="6"/>
    </row>
    <row r="398">
      <c r="A398" s="12"/>
      <c r="B398" s="13"/>
      <c r="C398" s="13"/>
      <c r="D398" s="35">
        <v>16.0</v>
      </c>
      <c r="E398" s="36">
        <v>2320.0</v>
      </c>
      <c r="F398" s="16">
        <f t="shared" ref="F398:F399" si="62">D398*E398</f>
        <v>37120</v>
      </c>
      <c r="G398" s="36"/>
      <c r="H398" s="37">
        <f>-20*16</f>
        <v>-320</v>
      </c>
      <c r="I398" s="37">
        <f>-4.85*D398</f>
        <v>-77.6</v>
      </c>
      <c r="J398" s="18">
        <f t="shared" ref="J398:J399" si="63">F398+G398+H398+I398</f>
        <v>36722.4</v>
      </c>
      <c r="K398" s="13"/>
      <c r="L398" s="5"/>
      <c r="O398" s="6"/>
      <c r="Q398" s="6"/>
    </row>
    <row r="399">
      <c r="A399" s="12"/>
      <c r="B399" s="13"/>
      <c r="C399" s="13"/>
      <c r="D399" s="35"/>
      <c r="E399" s="36"/>
      <c r="F399" s="16">
        <f t="shared" si="62"/>
        <v>0</v>
      </c>
      <c r="G399" s="36"/>
      <c r="H399" s="36"/>
      <c r="I399" s="37"/>
      <c r="J399" s="18">
        <f t="shared" si="63"/>
        <v>0</v>
      </c>
      <c r="K399" s="13"/>
      <c r="L399" s="5"/>
      <c r="O399" s="6"/>
      <c r="Q399" s="6"/>
    </row>
    <row r="400">
      <c r="A400" s="12"/>
      <c r="B400" s="13"/>
      <c r="C400" s="13"/>
      <c r="D400" s="15"/>
      <c r="E400" s="16"/>
      <c r="F400" s="16"/>
      <c r="G400" s="16"/>
      <c r="H400" s="16"/>
      <c r="I400" s="16"/>
      <c r="J400" s="18"/>
      <c r="K400" s="13"/>
      <c r="L400" s="5"/>
      <c r="O400" s="6"/>
      <c r="Q400" s="6"/>
    </row>
    <row r="401">
      <c r="A401" s="20"/>
      <c r="B401" s="13"/>
      <c r="C401" s="50" t="s">
        <v>14</v>
      </c>
      <c r="D401" s="22">
        <f>SUM(D398:D400)</f>
        <v>16</v>
      </c>
      <c r="E401" s="16"/>
      <c r="F401" s="16"/>
      <c r="G401" s="16"/>
      <c r="H401" s="51" t="s">
        <v>10</v>
      </c>
      <c r="I401" s="24"/>
      <c r="J401" s="25">
        <f>SUM(J398:J400)</f>
        <v>36722.4</v>
      </c>
      <c r="K401" s="13"/>
      <c r="L401" s="5"/>
      <c r="O401" s="6"/>
      <c r="Q401" s="6"/>
    </row>
    <row r="402">
      <c r="A402" s="20"/>
      <c r="B402" s="13"/>
      <c r="C402" s="13"/>
      <c r="D402" s="15"/>
      <c r="E402" s="16"/>
      <c r="F402" s="16"/>
      <c r="G402" s="16"/>
      <c r="H402" s="51" t="s">
        <v>16</v>
      </c>
      <c r="I402" s="24"/>
      <c r="J402" s="26">
        <f>J401/D401</f>
        <v>2295.15</v>
      </c>
      <c r="K402" s="13"/>
      <c r="L402" s="5"/>
      <c r="O402" s="6"/>
      <c r="Q402" s="6"/>
    </row>
    <row r="403">
      <c r="A403" s="20"/>
      <c r="B403" s="13"/>
      <c r="C403" s="13"/>
      <c r="D403" s="15"/>
      <c r="E403" s="16"/>
      <c r="F403" s="16"/>
      <c r="G403" s="16"/>
      <c r="H403" s="16"/>
      <c r="I403" s="16"/>
      <c r="J403" s="18"/>
      <c r="K403" s="13"/>
      <c r="L403" s="5"/>
      <c r="O403" s="6"/>
      <c r="Q403" s="6"/>
    </row>
    <row r="404">
      <c r="A404" s="20"/>
      <c r="B404" s="13"/>
      <c r="C404" s="13"/>
      <c r="D404" s="15"/>
      <c r="E404" s="16"/>
      <c r="F404" s="16"/>
      <c r="G404" s="16"/>
      <c r="H404" s="51" t="s">
        <v>23</v>
      </c>
      <c r="I404" s="24"/>
      <c r="J404" s="25">
        <f>J401-J392</f>
        <v>3055.4</v>
      </c>
      <c r="K404" s="13"/>
      <c r="L404" s="5"/>
      <c r="O404" s="6"/>
      <c r="Q404" s="6"/>
    </row>
    <row r="405">
      <c r="A405" s="20"/>
      <c r="B405" s="13"/>
      <c r="C405" s="13"/>
      <c r="D405" s="15"/>
      <c r="E405" s="16"/>
      <c r="F405" s="16"/>
      <c r="G405" s="16"/>
      <c r="H405" s="16"/>
      <c r="I405" s="16"/>
      <c r="J405" s="18"/>
      <c r="K405" s="13"/>
      <c r="L405" s="5"/>
      <c r="O405" s="6"/>
      <c r="Q405" s="6"/>
    </row>
    <row r="406">
      <c r="A406" s="20"/>
      <c r="B406" s="13"/>
      <c r="C406" s="55" t="s">
        <v>22</v>
      </c>
      <c r="D406" s="15">
        <f>D392-D401</f>
        <v>0</v>
      </c>
      <c r="E406" s="16"/>
      <c r="F406" s="16"/>
      <c r="G406" s="16"/>
      <c r="H406" s="56" t="s">
        <v>24</v>
      </c>
      <c r="I406" s="24"/>
      <c r="J406" s="18" t="str">
        <f>J404/D406</f>
        <v>#DIV/0!</v>
      </c>
      <c r="K406" s="13"/>
      <c r="L406" s="5"/>
      <c r="O406" s="6"/>
      <c r="Q406" s="6"/>
    </row>
    <row r="407">
      <c r="A407" s="20"/>
      <c r="B407" s="13"/>
      <c r="C407" s="13"/>
      <c r="D407" s="15"/>
      <c r="E407" s="16"/>
      <c r="F407" s="16"/>
      <c r="G407" s="16"/>
      <c r="H407" s="57" t="s">
        <v>25</v>
      </c>
      <c r="I407" s="24"/>
      <c r="J407" s="18">
        <f>J404/D401</f>
        <v>190.9625</v>
      </c>
      <c r="K407" s="13"/>
      <c r="L407" s="5"/>
      <c r="O407" s="6"/>
      <c r="Q407" s="6"/>
    </row>
    <row r="408">
      <c r="A408" s="20"/>
      <c r="B408" s="13"/>
      <c r="C408" s="13"/>
      <c r="D408" s="15"/>
      <c r="E408" s="16"/>
      <c r="F408" s="16"/>
      <c r="G408" s="16"/>
      <c r="H408" s="58"/>
      <c r="I408" s="58"/>
      <c r="J408" s="18"/>
      <c r="K408" s="13"/>
      <c r="L408" s="5"/>
      <c r="O408" s="6"/>
      <c r="Q408" s="6"/>
    </row>
    <row r="409" hidden="1">
      <c r="A409" s="20"/>
      <c r="B409" s="13"/>
      <c r="C409" s="13"/>
      <c r="D409" s="15"/>
      <c r="E409" s="16"/>
      <c r="F409" s="65"/>
      <c r="G409" s="66"/>
      <c r="H409" s="66"/>
      <c r="I409" s="67"/>
      <c r="J409" s="68"/>
      <c r="K409" s="13"/>
      <c r="L409" s="5"/>
      <c r="O409" s="6"/>
      <c r="Q409" s="6"/>
    </row>
    <row r="410" hidden="1">
      <c r="A410" s="20"/>
      <c r="B410" s="13"/>
      <c r="C410" s="13"/>
      <c r="D410" s="15"/>
      <c r="E410" s="16"/>
      <c r="F410" s="69"/>
      <c r="G410" s="66"/>
      <c r="H410" s="66"/>
      <c r="I410" s="67"/>
      <c r="J410" s="68"/>
      <c r="K410" s="13"/>
      <c r="L410" s="5"/>
      <c r="O410" s="6"/>
      <c r="Q410" s="6"/>
    </row>
    <row r="411">
      <c r="A411" s="20"/>
      <c r="B411" s="13"/>
      <c r="C411" s="13"/>
      <c r="D411" s="15"/>
      <c r="E411" s="16"/>
      <c r="F411" s="70"/>
      <c r="G411" s="70"/>
      <c r="H411" s="51" t="s">
        <v>36</v>
      </c>
      <c r="I411" s="24"/>
      <c r="J411" s="25">
        <f>J404+J409+J410</f>
        <v>3055.4</v>
      </c>
      <c r="K411" s="13"/>
      <c r="L411" s="5"/>
      <c r="O411" s="6"/>
      <c r="Q411" s="6"/>
    </row>
    <row r="412">
      <c r="A412" s="20"/>
      <c r="B412" s="13"/>
      <c r="C412" s="58" t="str">
        <f>IFERROR("Não sobrou",CONCATENATE("Parceria Mauro -&gt; Sobrou ",#REF!," cabeças, custando: ",TEXT(#REF!, "R$#,##")))</f>
        <v>Não sobrou</v>
      </c>
      <c r="J412" s="29"/>
      <c r="K412" s="13"/>
      <c r="L412" s="5"/>
      <c r="O412" s="6"/>
      <c r="Q412" s="6"/>
    </row>
    <row r="413">
      <c r="A413" s="20"/>
      <c r="B413" s="13"/>
      <c r="C413" s="58"/>
      <c r="D413" s="58"/>
      <c r="E413" s="58"/>
      <c r="F413" s="58"/>
      <c r="G413" s="58"/>
      <c r="H413" s="58"/>
      <c r="I413" s="58"/>
      <c r="J413" s="76"/>
      <c r="K413" s="13"/>
      <c r="L413" s="5"/>
      <c r="O413" s="6"/>
      <c r="Q413" s="6"/>
    </row>
    <row r="414">
      <c r="A414" s="59"/>
      <c r="B414" s="60"/>
      <c r="C414" s="61" t="str">
        <f>IF(J411&gt;0,CONCATENATE("Total de Lucro Parceria -&gt;: ",TEXT(J411, "R$#.##0,00")),"Não houve lucro")</f>
        <v>Total de Lucro Parceria -&gt;: R$3.055,4000</v>
      </c>
      <c r="D414" s="62"/>
      <c r="E414" s="62"/>
      <c r="F414" s="62"/>
      <c r="G414" s="62"/>
      <c r="H414" s="62"/>
      <c r="I414" s="62"/>
      <c r="J414" s="63"/>
      <c r="K414" s="13"/>
      <c r="L414" s="5"/>
      <c r="O414" s="6"/>
      <c r="Q414" s="6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5"/>
      <c r="O415" s="6"/>
      <c r="Q415" s="6"/>
    </row>
    <row r="416">
      <c r="A416" s="1" t="s">
        <v>87</v>
      </c>
      <c r="B416" s="2"/>
      <c r="C416" s="2"/>
      <c r="D416" s="2"/>
      <c r="E416" s="2"/>
      <c r="F416" s="2"/>
      <c r="G416" s="2"/>
      <c r="H416" s="2"/>
      <c r="I416" s="2"/>
      <c r="J416" s="3"/>
      <c r="K416" s="13"/>
      <c r="L416" s="5"/>
      <c r="O416" s="6"/>
      <c r="Q416" s="6"/>
    </row>
    <row r="417">
      <c r="A417" s="7" t="s">
        <v>1</v>
      </c>
      <c r="B417" s="8" t="s">
        <v>2</v>
      </c>
      <c r="C417" s="8" t="s">
        <v>3</v>
      </c>
      <c r="D417" s="9" t="s">
        <v>4</v>
      </c>
      <c r="E417" s="10" t="s">
        <v>5</v>
      </c>
      <c r="F417" s="10" t="s">
        <v>6</v>
      </c>
      <c r="G417" s="10" t="s">
        <v>7</v>
      </c>
      <c r="H417" s="10" t="s">
        <v>8</v>
      </c>
      <c r="I417" s="10" t="s">
        <v>9</v>
      </c>
      <c r="J417" s="11" t="s">
        <v>10</v>
      </c>
      <c r="K417" s="13"/>
      <c r="L417" s="5"/>
      <c r="O417" s="6"/>
      <c r="Q417" s="6"/>
    </row>
    <row r="418">
      <c r="A418" s="12">
        <v>46189.0</v>
      </c>
      <c r="B418" s="13" t="s">
        <v>11</v>
      </c>
      <c r="C418" s="14" t="s">
        <v>88</v>
      </c>
      <c r="D418" s="35">
        <v>11.0</v>
      </c>
      <c r="E418" s="36">
        <v>2900.0</v>
      </c>
      <c r="F418" s="16">
        <f t="shared" ref="F418:F426" si="64">D418*E418</f>
        <v>31900</v>
      </c>
      <c r="G418" s="6">
        <v>700.0</v>
      </c>
      <c r="H418" s="16"/>
      <c r="I418" s="16"/>
      <c r="J418" s="18">
        <f t="shared" ref="J418:J426" si="65">F418+G418+H418+I418</f>
        <v>32600</v>
      </c>
      <c r="K418" s="13"/>
      <c r="L418" s="5"/>
      <c r="O418" s="6"/>
      <c r="Q418" s="6"/>
    </row>
    <row r="419">
      <c r="A419" s="12">
        <v>46191.0</v>
      </c>
      <c r="B419" s="13" t="s">
        <v>11</v>
      </c>
      <c r="C419" s="14" t="s">
        <v>89</v>
      </c>
      <c r="D419" s="15">
        <v>12.0</v>
      </c>
      <c r="E419" s="80">
        <v>2800.0</v>
      </c>
      <c r="F419" s="16">
        <f t="shared" si="64"/>
        <v>33600</v>
      </c>
      <c r="G419" s="6">
        <v>1620.0</v>
      </c>
      <c r="H419" s="16"/>
      <c r="I419" s="16"/>
      <c r="J419" s="18">
        <f t="shared" si="65"/>
        <v>35220</v>
      </c>
      <c r="K419" s="13"/>
      <c r="L419" s="5"/>
      <c r="O419" s="6"/>
      <c r="Q419" s="6"/>
    </row>
    <row r="420">
      <c r="A420" s="12">
        <v>46196.0</v>
      </c>
      <c r="B420" s="13" t="s">
        <v>11</v>
      </c>
      <c r="C420" s="14" t="s">
        <v>90</v>
      </c>
      <c r="D420" s="15">
        <v>22.0</v>
      </c>
      <c r="E420" s="16">
        <v>2850.0</v>
      </c>
      <c r="F420" s="16">
        <f t="shared" si="64"/>
        <v>62700</v>
      </c>
      <c r="G420" s="6">
        <v>1230.0</v>
      </c>
      <c r="H420" s="16"/>
      <c r="I420" s="16"/>
      <c r="J420" s="18">
        <f t="shared" si="65"/>
        <v>63930</v>
      </c>
      <c r="K420" s="13"/>
      <c r="L420" s="5"/>
      <c r="O420" s="6"/>
      <c r="Q420" s="6"/>
    </row>
    <row r="421">
      <c r="A421" s="12">
        <v>46196.0</v>
      </c>
      <c r="B421" s="13" t="s">
        <v>11</v>
      </c>
      <c r="C421" s="14" t="s">
        <v>91</v>
      </c>
      <c r="D421" s="15">
        <v>9.0</v>
      </c>
      <c r="E421" s="16">
        <v>2800.0</v>
      </c>
      <c r="F421" s="16">
        <f t="shared" si="64"/>
        <v>25200</v>
      </c>
      <c r="G421" s="6">
        <v>500.0</v>
      </c>
      <c r="H421" s="16">
        <f>15*9</f>
        <v>135</v>
      </c>
      <c r="I421" s="16"/>
      <c r="J421" s="18">
        <f t="shared" si="65"/>
        <v>25835</v>
      </c>
      <c r="K421" s="13"/>
      <c r="L421" s="5"/>
      <c r="O421" s="6"/>
      <c r="Q421" s="6"/>
    </row>
    <row r="422">
      <c r="A422" s="12">
        <v>46203.0</v>
      </c>
      <c r="B422" s="13" t="s">
        <v>11</v>
      </c>
      <c r="C422" s="14" t="s">
        <v>92</v>
      </c>
      <c r="D422" s="15">
        <v>15.0</v>
      </c>
      <c r="E422" s="16">
        <v>2800.0</v>
      </c>
      <c r="F422" s="16">
        <f t="shared" si="64"/>
        <v>42000</v>
      </c>
      <c r="G422" s="6">
        <v>370.0</v>
      </c>
      <c r="H422" s="16"/>
      <c r="I422" s="16"/>
      <c r="J422" s="18">
        <f t="shared" si="65"/>
        <v>42370</v>
      </c>
      <c r="K422" s="13"/>
      <c r="L422" s="5"/>
      <c r="O422" s="6"/>
      <c r="Q422" s="6"/>
    </row>
    <row r="423">
      <c r="A423" s="88" t="s">
        <v>93</v>
      </c>
      <c r="B423" s="13"/>
      <c r="C423" s="89" t="s">
        <v>94</v>
      </c>
      <c r="D423" s="90"/>
      <c r="E423" s="43"/>
      <c r="F423" s="43">
        <f t="shared" si="64"/>
        <v>0</v>
      </c>
      <c r="G423" s="48"/>
      <c r="H423" s="43"/>
      <c r="I423" s="43">
        <v>2000.0</v>
      </c>
      <c r="J423" s="45">
        <f t="shared" si="65"/>
        <v>2000</v>
      </c>
      <c r="K423" s="13"/>
      <c r="L423" s="5"/>
      <c r="O423" s="6"/>
      <c r="Q423" s="6"/>
    </row>
    <row r="424">
      <c r="A424" s="88" t="s">
        <v>93</v>
      </c>
      <c r="B424" s="13"/>
      <c r="C424" s="89" t="s">
        <v>95</v>
      </c>
      <c r="D424" s="90"/>
      <c r="E424" s="43"/>
      <c r="F424" s="43">
        <f t="shared" si="64"/>
        <v>0</v>
      </c>
      <c r="G424" s="48"/>
      <c r="H424" s="43"/>
      <c r="I424" s="43">
        <f>852.56+1139.98</f>
        <v>1992.54</v>
      </c>
      <c r="J424" s="45">
        <f t="shared" si="65"/>
        <v>1992.54</v>
      </c>
      <c r="K424" s="13"/>
      <c r="L424" s="5"/>
      <c r="O424" s="6"/>
      <c r="Q424" s="6"/>
    </row>
    <row r="425" hidden="1">
      <c r="A425" s="12"/>
      <c r="B425" s="13"/>
      <c r="C425" s="14"/>
      <c r="D425" s="15"/>
      <c r="E425" s="16"/>
      <c r="F425" s="16">
        <f t="shared" si="64"/>
        <v>0</v>
      </c>
      <c r="G425" s="6"/>
      <c r="H425" s="16"/>
      <c r="I425" s="16"/>
      <c r="J425" s="18">
        <f t="shared" si="65"/>
        <v>0</v>
      </c>
      <c r="K425" s="13"/>
      <c r="L425" s="5"/>
      <c r="O425" s="6"/>
      <c r="Q425" s="6"/>
    </row>
    <row r="426" hidden="1">
      <c r="A426" s="12"/>
      <c r="B426" s="13"/>
      <c r="C426" s="14"/>
      <c r="D426" s="15"/>
      <c r="E426" s="16"/>
      <c r="F426" s="16">
        <f t="shared" si="64"/>
        <v>0</v>
      </c>
      <c r="G426" s="6"/>
      <c r="H426" s="16"/>
      <c r="I426" s="16"/>
      <c r="J426" s="18">
        <f t="shared" si="65"/>
        <v>0</v>
      </c>
      <c r="K426" s="13"/>
      <c r="L426" s="5"/>
      <c r="O426" s="6"/>
      <c r="Q426" s="6"/>
    </row>
    <row r="427">
      <c r="A427" s="12"/>
      <c r="B427" s="13"/>
      <c r="C427" s="14"/>
      <c r="D427" s="15"/>
      <c r="E427" s="16"/>
      <c r="F427" s="16"/>
      <c r="G427" s="6"/>
      <c r="H427" s="16"/>
      <c r="I427" s="16"/>
      <c r="J427" s="18"/>
      <c r="K427" s="13"/>
      <c r="L427" s="5"/>
      <c r="O427" s="6"/>
      <c r="Q427" s="6"/>
    </row>
    <row r="428">
      <c r="A428" s="12"/>
      <c r="B428" s="13"/>
      <c r="C428" s="13"/>
      <c r="D428" s="15"/>
      <c r="E428" s="19"/>
      <c r="F428" s="16"/>
      <c r="G428" s="16"/>
      <c r="H428" s="16"/>
      <c r="I428" s="16"/>
      <c r="J428" s="18"/>
      <c r="K428" s="13"/>
      <c r="L428" s="5"/>
      <c r="O428" s="6"/>
      <c r="Q428" s="6"/>
    </row>
    <row r="429">
      <c r="A429" s="20"/>
      <c r="B429" s="13"/>
      <c r="C429" s="21" t="s">
        <v>14</v>
      </c>
      <c r="D429" s="22">
        <f>SUM(D418:D428)</f>
        <v>69</v>
      </c>
      <c r="E429" s="16"/>
      <c r="F429" s="16"/>
      <c r="G429" s="16"/>
      <c r="H429" s="23" t="s">
        <v>15</v>
      </c>
      <c r="I429" s="24"/>
      <c r="J429" s="25">
        <f>SUM(J418:J428)</f>
        <v>203947.54</v>
      </c>
      <c r="K429" s="13"/>
      <c r="L429" s="5"/>
      <c r="O429" s="6"/>
      <c r="Q429" s="6"/>
    </row>
    <row r="430">
      <c r="A430" s="20"/>
      <c r="B430" s="13"/>
      <c r="C430" s="13"/>
      <c r="D430" s="15"/>
      <c r="E430" s="16"/>
      <c r="F430" s="16"/>
      <c r="G430" s="16"/>
      <c r="H430" s="23" t="s">
        <v>16</v>
      </c>
      <c r="I430" s="24"/>
      <c r="J430" s="26">
        <f>J429/D429</f>
        <v>2955.761449</v>
      </c>
      <c r="K430" s="13"/>
      <c r="L430" s="5"/>
      <c r="O430" s="6"/>
      <c r="Q430" s="6"/>
    </row>
    <row r="431">
      <c r="A431" s="20"/>
      <c r="B431" s="13"/>
      <c r="C431" s="13"/>
      <c r="D431" s="15"/>
      <c r="E431" s="16"/>
      <c r="F431" s="16"/>
      <c r="G431" s="16"/>
      <c r="H431" s="16"/>
      <c r="I431" s="16"/>
      <c r="J431" s="18"/>
      <c r="K431" s="13"/>
      <c r="L431" s="5"/>
      <c r="O431" s="6"/>
      <c r="Q431" s="6"/>
    </row>
    <row r="432">
      <c r="A432" s="20"/>
      <c r="B432" s="13"/>
      <c r="C432" s="13"/>
      <c r="D432" s="15"/>
      <c r="E432" s="16"/>
      <c r="F432" s="16"/>
      <c r="G432" s="16"/>
      <c r="H432" s="16"/>
      <c r="I432" s="16"/>
      <c r="J432" s="18"/>
      <c r="K432" s="13"/>
      <c r="L432" s="5"/>
      <c r="O432" s="6"/>
      <c r="Q432" s="6"/>
    </row>
    <row r="433">
      <c r="A433" s="20"/>
      <c r="B433" s="13"/>
      <c r="C433" s="13"/>
      <c r="D433" s="15"/>
      <c r="E433" s="16"/>
      <c r="F433" s="16"/>
      <c r="G433" s="16"/>
      <c r="H433" s="28" t="str">
        <f>CONCATENATE("Temos ",D429," cabeças, custando: ",TEXT(J430, "R$#.###,##"))</f>
        <v>Temos 69 cabeças, custando: R$2.955,76145</v>
      </c>
      <c r="J433" s="29"/>
      <c r="K433" s="13"/>
      <c r="L433" s="5"/>
      <c r="O433" s="6"/>
      <c r="Q433" s="6"/>
    </row>
    <row r="434">
      <c r="A434" s="30" t="s">
        <v>1</v>
      </c>
      <c r="B434" s="31" t="s">
        <v>2</v>
      </c>
      <c r="C434" s="31" t="s">
        <v>3</v>
      </c>
      <c r="D434" s="32" t="s">
        <v>4</v>
      </c>
      <c r="E434" s="33" t="s">
        <v>5</v>
      </c>
      <c r="F434" s="33" t="s">
        <v>6</v>
      </c>
      <c r="G434" s="33" t="s">
        <v>7</v>
      </c>
      <c r="H434" s="33" t="s">
        <v>8</v>
      </c>
      <c r="I434" s="33" t="s">
        <v>17</v>
      </c>
      <c r="J434" s="34" t="s">
        <v>10</v>
      </c>
      <c r="K434" s="13"/>
      <c r="L434" s="5"/>
      <c r="O434" s="6"/>
      <c r="Q434" s="6"/>
    </row>
    <row r="435">
      <c r="A435" s="12"/>
      <c r="B435" s="13"/>
      <c r="C435" s="13"/>
      <c r="D435" s="91">
        <v>65.0</v>
      </c>
      <c r="E435" s="92">
        <v>3029.0</v>
      </c>
      <c r="F435" s="16">
        <f t="shared" ref="F435:F439" si="66">D435*E435</f>
        <v>196885</v>
      </c>
      <c r="G435" s="36"/>
      <c r="H435" s="92">
        <f>-29*65</f>
        <v>-1885</v>
      </c>
      <c r="I435" s="37">
        <f>D435*-4.85</f>
        <v>-315.25</v>
      </c>
      <c r="J435" s="18">
        <f t="shared" ref="J435:J439" si="67">F435+G435+H435+I435</f>
        <v>194684.75</v>
      </c>
      <c r="K435" s="13"/>
      <c r="L435" s="5"/>
      <c r="O435" s="6"/>
      <c r="Q435" s="6"/>
    </row>
    <row r="436">
      <c r="A436" s="12"/>
      <c r="B436" s="13"/>
      <c r="C436" s="13"/>
      <c r="D436" s="91">
        <v>4.0</v>
      </c>
      <c r="E436" s="92">
        <v>2315.6975</v>
      </c>
      <c r="F436" s="16">
        <f t="shared" si="66"/>
        <v>9262.79</v>
      </c>
      <c r="G436" s="36"/>
      <c r="H436" s="36"/>
      <c r="I436" s="37"/>
      <c r="J436" s="18">
        <f t="shared" si="67"/>
        <v>9262.79</v>
      </c>
      <c r="K436" s="13"/>
      <c r="L436" s="5"/>
      <c r="M436" s="91">
        <v>65.0</v>
      </c>
      <c r="N436" s="92">
        <v>3029.0</v>
      </c>
      <c r="O436" s="16">
        <f t="shared" ref="O436:O437" si="68">M436*N436</f>
        <v>196885</v>
      </c>
      <c r="P436" s="36"/>
      <c r="Q436" s="92">
        <f t="shared" ref="Q436:Q437" si="69">M436*-29</f>
        <v>-1885</v>
      </c>
      <c r="R436" s="37">
        <f t="shared" ref="R436:R437" si="70">M436*-4.85</f>
        <v>-315.25</v>
      </c>
      <c r="S436" s="18">
        <f t="shared" ref="S436:S437" si="71">O436+P436+Q436+R436</f>
        <v>194684.75</v>
      </c>
    </row>
    <row r="437">
      <c r="A437" s="12"/>
      <c r="B437" s="13"/>
      <c r="C437" s="13"/>
      <c r="D437" s="35"/>
      <c r="E437" s="36"/>
      <c r="F437" s="16">
        <f t="shared" si="66"/>
        <v>0</v>
      </c>
      <c r="G437" s="36"/>
      <c r="H437" s="37"/>
      <c r="I437" s="37">
        <f>-4.85*D437</f>
        <v>0</v>
      </c>
      <c r="J437" s="18">
        <f t="shared" si="67"/>
        <v>0</v>
      </c>
      <c r="K437" s="13"/>
      <c r="L437" s="5"/>
      <c r="M437" s="91">
        <v>27.0</v>
      </c>
      <c r="N437" s="92">
        <v>3029.0</v>
      </c>
      <c r="O437" s="16">
        <f t="shared" si="68"/>
        <v>81783</v>
      </c>
      <c r="P437" s="36"/>
      <c r="Q437" s="92">
        <f t="shared" si="69"/>
        <v>-783</v>
      </c>
      <c r="R437" s="37">
        <f t="shared" si="70"/>
        <v>-130.95</v>
      </c>
      <c r="S437" s="18">
        <f t="shared" si="71"/>
        <v>80869.05</v>
      </c>
    </row>
    <row r="438" hidden="1">
      <c r="A438" s="12"/>
      <c r="B438" s="13"/>
      <c r="C438" s="13"/>
      <c r="D438" s="35"/>
      <c r="E438" s="36"/>
      <c r="F438" s="16">
        <f t="shared" si="66"/>
        <v>0</v>
      </c>
      <c r="G438" s="36"/>
      <c r="H438" s="36"/>
      <c r="I438" s="37"/>
      <c r="J438" s="18">
        <f t="shared" si="67"/>
        <v>0</v>
      </c>
      <c r="K438" s="13"/>
      <c r="L438" s="5"/>
      <c r="O438" s="6"/>
      <c r="Q438" s="6"/>
    </row>
    <row r="439" hidden="1">
      <c r="A439" s="12"/>
      <c r="B439" s="13"/>
      <c r="C439" s="13"/>
      <c r="D439" s="35"/>
      <c r="E439" s="36"/>
      <c r="F439" s="16">
        <f t="shared" si="66"/>
        <v>0</v>
      </c>
      <c r="G439" s="36"/>
      <c r="H439" s="36"/>
      <c r="I439" s="37"/>
      <c r="J439" s="18">
        <f t="shared" si="67"/>
        <v>0</v>
      </c>
      <c r="K439" s="13"/>
      <c r="L439" s="5"/>
      <c r="O439" s="6"/>
      <c r="Q439" s="6"/>
    </row>
    <row r="440">
      <c r="A440" s="12"/>
      <c r="B440" s="13"/>
      <c r="C440" s="13"/>
      <c r="D440" s="15"/>
      <c r="E440" s="16"/>
      <c r="F440" s="16"/>
      <c r="G440" s="16"/>
      <c r="H440" s="16"/>
      <c r="I440" s="16"/>
      <c r="J440" s="18"/>
      <c r="K440" s="13"/>
      <c r="L440" s="5"/>
      <c r="O440" s="6"/>
      <c r="Q440" s="6"/>
    </row>
    <row r="441">
      <c r="A441" s="20"/>
      <c r="B441" s="13"/>
      <c r="C441" s="50" t="s">
        <v>14</v>
      </c>
      <c r="D441" s="22">
        <f>SUM(D435:D440)</f>
        <v>69</v>
      </c>
      <c r="E441" s="16"/>
      <c r="F441" s="16"/>
      <c r="G441" s="16"/>
      <c r="H441" s="51" t="s">
        <v>10</v>
      </c>
      <c r="I441" s="24"/>
      <c r="J441" s="25">
        <f>SUM(J435:J440)</f>
        <v>203947.54</v>
      </c>
      <c r="K441" s="13"/>
      <c r="L441" s="5"/>
      <c r="O441" s="6"/>
      <c r="Q441" s="6"/>
    </row>
    <row r="442">
      <c r="A442" s="20"/>
      <c r="B442" s="13"/>
      <c r="C442" s="13"/>
      <c r="D442" s="15"/>
      <c r="E442" s="16"/>
      <c r="F442" s="16"/>
      <c r="G442" s="16"/>
      <c r="H442" s="51" t="s">
        <v>16</v>
      </c>
      <c r="I442" s="24"/>
      <c r="J442" s="26">
        <f>J441/D441</f>
        <v>2955.761449</v>
      </c>
      <c r="K442" s="13"/>
      <c r="L442" s="5"/>
      <c r="O442" s="6"/>
      <c r="Q442" s="6"/>
    </row>
    <row r="443">
      <c r="A443" s="20"/>
      <c r="B443" s="13"/>
      <c r="C443" s="13"/>
      <c r="D443" s="15"/>
      <c r="E443" s="16"/>
      <c r="F443" s="16"/>
      <c r="G443" s="16"/>
      <c r="H443" s="16"/>
      <c r="I443" s="16"/>
      <c r="J443" s="18"/>
      <c r="K443" s="13"/>
      <c r="L443" s="5"/>
      <c r="O443" s="6"/>
      <c r="Q443" s="6"/>
    </row>
    <row r="444">
      <c r="A444" s="20"/>
      <c r="B444" s="13"/>
      <c r="C444" s="13"/>
      <c r="D444" s="15"/>
      <c r="E444" s="16"/>
      <c r="F444" s="16"/>
      <c r="G444" s="16"/>
      <c r="H444" s="51" t="s">
        <v>23</v>
      </c>
      <c r="I444" s="24"/>
      <c r="J444" s="25">
        <f>J441-J429</f>
        <v>0</v>
      </c>
      <c r="K444" s="13"/>
      <c r="L444" s="5"/>
      <c r="O444" s="6"/>
      <c r="Q444" s="6"/>
    </row>
    <row r="445">
      <c r="A445" s="20"/>
      <c r="B445" s="13"/>
      <c r="C445" s="13"/>
      <c r="D445" s="15"/>
      <c r="E445" s="16"/>
      <c r="F445" s="16"/>
      <c r="G445" s="16"/>
      <c r="H445" s="16"/>
      <c r="I445" s="16"/>
      <c r="J445" s="18"/>
      <c r="K445" s="13"/>
      <c r="L445" s="5"/>
      <c r="O445" s="6"/>
      <c r="Q445" s="6"/>
    </row>
    <row r="446">
      <c r="A446" s="20"/>
      <c r="B446" s="13"/>
      <c r="C446" s="55" t="s">
        <v>22</v>
      </c>
      <c r="D446" s="15">
        <f>D429-D441</f>
        <v>0</v>
      </c>
      <c r="E446" s="16"/>
      <c r="F446" s="16"/>
      <c r="G446" s="16"/>
      <c r="H446" s="56" t="s">
        <v>24</v>
      </c>
      <c r="I446" s="24"/>
      <c r="J446" s="18" t="str">
        <f>J444/D446</f>
        <v>#DIV/0!</v>
      </c>
      <c r="K446" s="13"/>
      <c r="L446" s="5"/>
      <c r="O446" s="6"/>
      <c r="Q446" s="6"/>
    </row>
    <row r="447">
      <c r="A447" s="20"/>
      <c r="B447" s="13"/>
      <c r="C447" s="13"/>
      <c r="D447" s="15"/>
      <c r="E447" s="16"/>
      <c r="F447" s="16"/>
      <c r="G447" s="16"/>
      <c r="H447" s="57" t="s">
        <v>25</v>
      </c>
      <c r="I447" s="24"/>
      <c r="J447" s="18">
        <f>J444/D441</f>
        <v>0</v>
      </c>
      <c r="K447" s="13"/>
      <c r="L447" s="5"/>
      <c r="O447" s="6"/>
      <c r="Q447" s="6"/>
    </row>
    <row r="448">
      <c r="A448" s="20"/>
      <c r="B448" s="13"/>
      <c r="C448" s="13"/>
      <c r="D448" s="15"/>
      <c r="E448" s="16"/>
      <c r="F448" s="16"/>
      <c r="G448" s="16"/>
      <c r="H448" s="58"/>
      <c r="I448" s="58"/>
      <c r="J448" s="18"/>
      <c r="K448" s="13"/>
      <c r="L448" s="5"/>
      <c r="O448" s="6"/>
      <c r="P448" s="49">
        <f>12*340</f>
        <v>4080</v>
      </c>
      <c r="Q448" s="6"/>
    </row>
    <row r="449" hidden="1">
      <c r="A449" s="20"/>
      <c r="B449" s="13"/>
      <c r="C449" s="13"/>
      <c r="D449" s="15"/>
      <c r="E449" s="16"/>
      <c r="F449" s="65"/>
      <c r="G449" s="66"/>
      <c r="H449" s="66"/>
      <c r="I449" s="67"/>
      <c r="J449" s="68"/>
      <c r="K449" s="13"/>
      <c r="L449" s="5"/>
      <c r="O449" s="6"/>
      <c r="P449" s="49">
        <f>10*85</f>
        <v>850</v>
      </c>
      <c r="Q449" s="6"/>
    </row>
    <row r="450" hidden="1">
      <c r="A450" s="20"/>
      <c r="B450" s="13"/>
      <c r="C450" s="13"/>
      <c r="D450" s="15"/>
      <c r="E450" s="16"/>
      <c r="F450" s="69"/>
      <c r="G450" s="66"/>
      <c r="H450" s="66"/>
      <c r="I450" s="67"/>
      <c r="J450" s="68"/>
      <c r="K450" s="13"/>
      <c r="L450" s="5"/>
      <c r="O450" s="6"/>
      <c r="P450" s="49">
        <f>P449/8</f>
        <v>106.25</v>
      </c>
      <c r="Q450" s="6"/>
    </row>
    <row r="451">
      <c r="A451" s="20"/>
      <c r="B451" s="13"/>
      <c r="C451" s="13"/>
      <c r="D451" s="15"/>
      <c r="E451" s="16"/>
      <c r="F451" s="70"/>
      <c r="G451" s="70"/>
      <c r="H451" s="51" t="s">
        <v>36</v>
      </c>
      <c r="I451" s="24"/>
      <c r="J451" s="25">
        <f>J444+J449+J450</f>
        <v>0</v>
      </c>
      <c r="K451" s="13"/>
      <c r="L451" s="5"/>
      <c r="O451" s="6"/>
      <c r="Q451" s="6"/>
    </row>
    <row r="452">
      <c r="A452" s="20"/>
      <c r="B452" s="13"/>
      <c r="C452" s="58" t="str">
        <f>IFERROR("Não sobrou",CONCATENATE("Parceria Mauro -&gt; Sobrou ",#REF!," cabeças, custando: ",TEXT(#REF!, "R$#,##")))</f>
        <v>Não sobrou</v>
      </c>
      <c r="J452" s="29"/>
      <c r="K452" s="13"/>
      <c r="L452" s="5"/>
      <c r="O452" s="6"/>
      <c r="Q452" s="6"/>
    </row>
    <row r="453">
      <c r="A453" s="20"/>
      <c r="B453" s="13"/>
      <c r="C453" s="58"/>
      <c r="D453" s="58"/>
      <c r="E453" s="58"/>
      <c r="F453" s="58"/>
      <c r="G453" s="58"/>
      <c r="H453" s="58"/>
      <c r="I453" s="58"/>
      <c r="J453" s="76"/>
      <c r="K453" s="13"/>
      <c r="L453" s="5"/>
      <c r="O453" s="6"/>
      <c r="Q453" s="6"/>
    </row>
    <row r="454">
      <c r="A454" s="59"/>
      <c r="B454" s="60"/>
      <c r="C454" s="61" t="str">
        <f>IF(J451&gt;0,CONCATENATE("Total de Lucro Parceria -&gt;: ",TEXT(J451, "R$#.##0,00")),"Não houve lucro")</f>
        <v>Não houve lucro</v>
      </c>
      <c r="D454" s="62"/>
      <c r="E454" s="62"/>
      <c r="F454" s="62"/>
      <c r="G454" s="62"/>
      <c r="H454" s="62"/>
      <c r="I454" s="62"/>
      <c r="J454" s="63"/>
      <c r="K454" s="13"/>
      <c r="L454" s="5"/>
      <c r="O454" s="6"/>
      <c r="Q454" s="6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5"/>
      <c r="O455" s="6"/>
      <c r="Q455" s="6"/>
    </row>
    <row r="456">
      <c r="A456" s="93" t="s">
        <v>96</v>
      </c>
      <c r="B456" s="2"/>
      <c r="C456" s="2"/>
      <c r="D456" s="2"/>
      <c r="E456" s="2"/>
      <c r="F456" s="2"/>
      <c r="G456" s="2"/>
      <c r="H456" s="2"/>
      <c r="I456" s="2"/>
      <c r="J456" s="3"/>
      <c r="K456" s="13"/>
      <c r="L456" s="5"/>
      <c r="O456" s="6"/>
      <c r="Q456" s="6"/>
    </row>
    <row r="457">
      <c r="A457" s="7" t="s">
        <v>1</v>
      </c>
      <c r="B457" s="8" t="s">
        <v>2</v>
      </c>
      <c r="C457" s="8" t="s">
        <v>3</v>
      </c>
      <c r="D457" s="9" t="s">
        <v>4</v>
      </c>
      <c r="E457" s="10" t="s">
        <v>5</v>
      </c>
      <c r="F457" s="10" t="s">
        <v>6</v>
      </c>
      <c r="G457" s="10" t="s">
        <v>7</v>
      </c>
      <c r="H457" s="10" t="s">
        <v>8</v>
      </c>
      <c r="I457" s="10" t="s">
        <v>9</v>
      </c>
      <c r="J457" s="11" t="s">
        <v>10</v>
      </c>
      <c r="K457" s="13"/>
      <c r="L457" s="5"/>
      <c r="O457" s="6"/>
      <c r="Q457" s="6"/>
    </row>
    <row r="458">
      <c r="A458" s="12"/>
      <c r="B458" s="13"/>
      <c r="C458" s="94" t="s">
        <v>22</v>
      </c>
      <c r="D458" s="35">
        <v>16.0</v>
      </c>
      <c r="E458" s="36">
        <v>2600.0</v>
      </c>
      <c r="F458" s="16">
        <f t="shared" ref="F458:F465" si="72">D458*E458</f>
        <v>41600</v>
      </c>
      <c r="G458" s="6"/>
      <c r="H458" s="16"/>
      <c r="I458" s="16"/>
      <c r="J458" s="18">
        <f t="shared" ref="J458:J465" si="73">F458+G458+H458+I458</f>
        <v>41600</v>
      </c>
      <c r="K458" s="13"/>
      <c r="L458" s="5"/>
      <c r="O458" s="6"/>
      <c r="Q458" s="6"/>
    </row>
    <row r="459">
      <c r="A459" s="12"/>
      <c r="B459" s="13"/>
      <c r="C459" s="94" t="s">
        <v>22</v>
      </c>
      <c r="D459" s="95">
        <v>4.0</v>
      </c>
      <c r="E459" s="96">
        <v>2158.0725</v>
      </c>
      <c r="F459" s="16">
        <f t="shared" si="72"/>
        <v>8632.29</v>
      </c>
      <c r="G459" s="6"/>
      <c r="H459" s="16"/>
      <c r="I459" s="16"/>
      <c r="J459" s="18">
        <f t="shared" si="73"/>
        <v>8632.29</v>
      </c>
      <c r="K459" s="13"/>
      <c r="L459" s="5"/>
      <c r="O459" s="6"/>
      <c r="Q459" s="6"/>
    </row>
    <row r="460">
      <c r="A460" s="12"/>
      <c r="B460" s="13"/>
      <c r="C460" s="94" t="s">
        <v>70</v>
      </c>
      <c r="D460" s="95">
        <v>1.0</v>
      </c>
      <c r="E460" s="96">
        <v>2500.0</v>
      </c>
      <c r="F460" s="16">
        <f t="shared" si="72"/>
        <v>2500</v>
      </c>
      <c r="G460" s="6"/>
      <c r="H460" s="16"/>
      <c r="I460" s="16"/>
      <c r="J460" s="18">
        <f t="shared" si="73"/>
        <v>2500</v>
      </c>
      <c r="K460" s="13"/>
      <c r="L460" s="5"/>
      <c r="O460" s="6"/>
      <c r="Q460" s="6"/>
    </row>
    <row r="461" hidden="1">
      <c r="A461" s="12"/>
      <c r="B461" s="13"/>
      <c r="C461" s="14"/>
      <c r="D461" s="15"/>
      <c r="E461" s="16"/>
      <c r="F461" s="16">
        <f t="shared" si="72"/>
        <v>0</v>
      </c>
      <c r="G461" s="6"/>
      <c r="H461" s="16"/>
      <c r="I461" s="16"/>
      <c r="J461" s="18">
        <f t="shared" si="73"/>
        <v>0</v>
      </c>
      <c r="K461" s="13"/>
      <c r="L461" s="5"/>
      <c r="O461" s="6"/>
      <c r="Q461" s="6"/>
    </row>
    <row r="462" hidden="1">
      <c r="A462" s="12"/>
      <c r="B462" s="13"/>
      <c r="C462" s="89"/>
      <c r="D462" s="90"/>
      <c r="E462" s="43"/>
      <c r="F462" s="43">
        <f t="shared" si="72"/>
        <v>0</v>
      </c>
      <c r="G462" s="48"/>
      <c r="H462" s="43"/>
      <c r="I462" s="43"/>
      <c r="J462" s="45">
        <f t="shared" si="73"/>
        <v>0</v>
      </c>
      <c r="K462" s="13"/>
      <c r="L462" s="5"/>
      <c r="O462" s="6"/>
      <c r="Q462" s="6"/>
    </row>
    <row r="463" hidden="1">
      <c r="A463" s="12"/>
      <c r="B463" s="13"/>
      <c r="C463" s="89"/>
      <c r="D463" s="90"/>
      <c r="E463" s="43"/>
      <c r="F463" s="43">
        <f t="shared" si="72"/>
        <v>0</v>
      </c>
      <c r="G463" s="48"/>
      <c r="H463" s="43"/>
      <c r="I463" s="43"/>
      <c r="J463" s="45">
        <f t="shared" si="73"/>
        <v>0</v>
      </c>
      <c r="K463" s="13"/>
      <c r="L463" s="5"/>
      <c r="O463" s="6"/>
      <c r="Q463" s="6"/>
    </row>
    <row r="464" hidden="1">
      <c r="A464" s="12"/>
      <c r="B464" s="13"/>
      <c r="C464" s="14"/>
      <c r="D464" s="15"/>
      <c r="E464" s="16"/>
      <c r="F464" s="16">
        <f t="shared" si="72"/>
        <v>0</v>
      </c>
      <c r="G464" s="6"/>
      <c r="H464" s="16"/>
      <c r="I464" s="16"/>
      <c r="J464" s="18">
        <f t="shared" si="73"/>
        <v>0</v>
      </c>
      <c r="K464" s="13"/>
      <c r="L464" s="5"/>
      <c r="O464" s="6"/>
      <c r="Q464" s="6"/>
    </row>
    <row r="465" hidden="1">
      <c r="A465" s="12"/>
      <c r="B465" s="13"/>
      <c r="C465" s="14"/>
      <c r="D465" s="15"/>
      <c r="E465" s="16"/>
      <c r="F465" s="16">
        <f t="shared" si="72"/>
        <v>0</v>
      </c>
      <c r="G465" s="6"/>
      <c r="H465" s="16"/>
      <c r="I465" s="16"/>
      <c r="J465" s="18">
        <f t="shared" si="73"/>
        <v>0</v>
      </c>
      <c r="K465" s="13"/>
      <c r="L465" s="5"/>
      <c r="O465" s="6"/>
      <c r="Q465" s="6"/>
    </row>
    <row r="466">
      <c r="A466" s="12"/>
      <c r="B466" s="13"/>
      <c r="C466" s="14"/>
      <c r="D466" s="15"/>
      <c r="E466" s="16"/>
      <c r="F466" s="16"/>
      <c r="G466" s="6"/>
      <c r="H466" s="16"/>
      <c r="I466" s="16"/>
      <c r="J466" s="18"/>
      <c r="K466" s="13"/>
      <c r="L466" s="5"/>
      <c r="O466" s="6"/>
      <c r="Q466" s="6"/>
    </row>
    <row r="467">
      <c r="A467" s="12"/>
      <c r="B467" s="13"/>
      <c r="C467" s="13"/>
      <c r="D467" s="15"/>
      <c r="E467" s="19"/>
      <c r="F467" s="16"/>
      <c r="G467" s="16"/>
      <c r="H467" s="16"/>
      <c r="I467" s="16"/>
      <c r="J467" s="18"/>
      <c r="K467" s="13"/>
      <c r="L467" s="5"/>
      <c r="O467" s="6"/>
      <c r="Q467" s="6"/>
    </row>
    <row r="468">
      <c r="A468" s="20"/>
      <c r="B468" s="13"/>
      <c r="C468" s="21" t="s">
        <v>14</v>
      </c>
      <c r="D468" s="22">
        <f>SUM(D458:D467)</f>
        <v>21</v>
      </c>
      <c r="E468" s="16"/>
      <c r="F468" s="16"/>
      <c r="G468" s="16"/>
      <c r="H468" s="23" t="s">
        <v>15</v>
      </c>
      <c r="I468" s="24"/>
      <c r="J468" s="25">
        <f>SUM(J458:J467)</f>
        <v>52732.29</v>
      </c>
      <c r="K468" s="13"/>
      <c r="L468" s="5"/>
      <c r="O468" s="6"/>
      <c r="Q468" s="6"/>
    </row>
    <row r="469">
      <c r="A469" s="20"/>
      <c r="B469" s="13"/>
      <c r="C469" s="13"/>
      <c r="D469" s="15"/>
      <c r="E469" s="16"/>
      <c r="F469" s="16"/>
      <c r="G469" s="16"/>
      <c r="H469" s="23" t="s">
        <v>16</v>
      </c>
      <c r="I469" s="24"/>
      <c r="J469" s="26">
        <f>J468/D468</f>
        <v>2511.061429</v>
      </c>
      <c r="K469" s="13"/>
      <c r="L469" s="5"/>
      <c r="O469" s="6"/>
      <c r="Q469" s="6"/>
    </row>
    <row r="470">
      <c r="A470" s="20"/>
      <c r="B470" s="13"/>
      <c r="C470" s="13"/>
      <c r="D470" s="15"/>
      <c r="E470" s="16"/>
      <c r="F470" s="16"/>
      <c r="G470" s="16"/>
      <c r="H470" s="16"/>
      <c r="I470" s="16"/>
      <c r="J470" s="18"/>
      <c r="K470" s="13"/>
      <c r="L470" s="5"/>
      <c r="O470" s="6"/>
      <c r="Q470" s="6"/>
    </row>
    <row r="471">
      <c r="A471" s="20"/>
      <c r="B471" s="13"/>
      <c r="C471" s="13"/>
      <c r="D471" s="15"/>
      <c r="E471" s="16"/>
      <c r="F471" s="16"/>
      <c r="G471" s="16"/>
      <c r="H471" s="16"/>
      <c r="I471" s="16"/>
      <c r="J471" s="18"/>
      <c r="K471" s="13"/>
      <c r="L471" s="5"/>
      <c r="O471" s="6"/>
      <c r="Q471" s="6"/>
    </row>
    <row r="472">
      <c r="A472" s="20"/>
      <c r="B472" s="13"/>
      <c r="C472" s="13"/>
      <c r="D472" s="15"/>
      <c r="E472" s="16"/>
      <c r="F472" s="16"/>
      <c r="G472" s="16"/>
      <c r="H472" s="28" t="str">
        <f>CONCATENATE("Temos ",D468," cabeças, custando: ",TEXT(J469, "R$#.###,##"))</f>
        <v>Temos 21 cabeças, custando: R$2.511,06143</v>
      </c>
      <c r="J472" s="29"/>
      <c r="K472" s="13"/>
      <c r="L472" s="5"/>
      <c r="O472" s="6"/>
      <c r="Q472" s="6"/>
    </row>
    <row r="473">
      <c r="A473" s="30" t="s">
        <v>1</v>
      </c>
      <c r="B473" s="31" t="s">
        <v>2</v>
      </c>
      <c r="C473" s="31" t="s">
        <v>3</v>
      </c>
      <c r="D473" s="32" t="s">
        <v>4</v>
      </c>
      <c r="E473" s="33" t="s">
        <v>5</v>
      </c>
      <c r="F473" s="33" t="s">
        <v>6</v>
      </c>
      <c r="G473" s="33" t="s">
        <v>7</v>
      </c>
      <c r="H473" s="33" t="s">
        <v>8</v>
      </c>
      <c r="I473" s="33" t="s">
        <v>17</v>
      </c>
      <c r="J473" s="34" t="s">
        <v>10</v>
      </c>
      <c r="K473" s="13"/>
      <c r="L473" s="5"/>
      <c r="O473" s="6"/>
      <c r="Q473" s="6"/>
    </row>
    <row r="474">
      <c r="A474" s="97">
        <v>46241.0</v>
      </c>
      <c r="B474" s="98" t="s">
        <v>20</v>
      </c>
      <c r="C474" s="98" t="s">
        <v>97</v>
      </c>
      <c r="D474" s="91">
        <v>3.0</v>
      </c>
      <c r="E474" s="92">
        <v>2500.0</v>
      </c>
      <c r="F474" s="16">
        <f t="shared" ref="F474:F478" si="74">D474*E474</f>
        <v>7500</v>
      </c>
      <c r="G474" s="36"/>
      <c r="H474" s="92"/>
      <c r="I474" s="37">
        <f t="shared" ref="I474:I475" si="75">D474*-4.85</f>
        <v>-14.55</v>
      </c>
      <c r="J474" s="18">
        <f t="shared" ref="J474:J478" si="76">F474+G474+H474+I474</f>
        <v>7485.45</v>
      </c>
      <c r="K474" s="13"/>
      <c r="L474" s="5"/>
      <c r="O474" s="6"/>
      <c r="Q474" s="6"/>
    </row>
    <row r="475">
      <c r="A475" s="97">
        <v>46241.0</v>
      </c>
      <c r="B475" s="98" t="s">
        <v>20</v>
      </c>
      <c r="C475" s="98" t="s">
        <v>97</v>
      </c>
      <c r="D475" s="91">
        <v>17.0</v>
      </c>
      <c r="E475" s="92">
        <v>2800.0</v>
      </c>
      <c r="F475" s="16">
        <f t="shared" si="74"/>
        <v>47600</v>
      </c>
      <c r="G475" s="36"/>
      <c r="H475" s="36"/>
      <c r="I475" s="37">
        <f t="shared" si="75"/>
        <v>-82.45</v>
      </c>
      <c r="J475" s="18">
        <f t="shared" si="76"/>
        <v>47517.55</v>
      </c>
      <c r="K475" s="13"/>
      <c r="L475" s="5"/>
      <c r="O475" s="6"/>
      <c r="Q475" s="6"/>
    </row>
    <row r="476">
      <c r="A476" s="12"/>
      <c r="B476" s="13"/>
      <c r="C476" s="98" t="s">
        <v>22</v>
      </c>
      <c r="D476" s="95">
        <v>1.0</v>
      </c>
      <c r="E476" s="96">
        <v>2500.0</v>
      </c>
      <c r="F476" s="16">
        <f t="shared" si="74"/>
        <v>2500</v>
      </c>
      <c r="G476" s="36"/>
      <c r="H476" s="37"/>
      <c r="I476" s="37"/>
      <c r="J476" s="18">
        <f t="shared" si="76"/>
        <v>2500</v>
      </c>
      <c r="K476" s="13"/>
      <c r="L476" s="5"/>
      <c r="O476" s="6"/>
      <c r="Q476" s="6"/>
    </row>
    <row r="477" hidden="1">
      <c r="A477" s="12"/>
      <c r="B477" s="13"/>
      <c r="C477" s="13"/>
      <c r="D477" s="35"/>
      <c r="E477" s="36"/>
      <c r="F477" s="16">
        <f t="shared" si="74"/>
        <v>0</v>
      </c>
      <c r="G477" s="36"/>
      <c r="H477" s="36"/>
      <c r="I477" s="37"/>
      <c r="J477" s="18">
        <f t="shared" si="76"/>
        <v>0</v>
      </c>
      <c r="K477" s="13"/>
      <c r="L477" s="5"/>
      <c r="O477" s="6"/>
      <c r="Q477" s="6"/>
    </row>
    <row r="478" hidden="1">
      <c r="A478" s="12"/>
      <c r="B478" s="13"/>
      <c r="C478" s="13"/>
      <c r="D478" s="35"/>
      <c r="E478" s="36"/>
      <c r="F478" s="16">
        <f t="shared" si="74"/>
        <v>0</v>
      </c>
      <c r="G478" s="36"/>
      <c r="H478" s="36"/>
      <c r="I478" s="37"/>
      <c r="J478" s="18">
        <f t="shared" si="76"/>
        <v>0</v>
      </c>
      <c r="K478" s="13"/>
      <c r="L478" s="5"/>
      <c r="O478" s="6"/>
      <c r="Q478" s="6"/>
    </row>
    <row r="479">
      <c r="A479" s="12"/>
      <c r="B479" s="13"/>
      <c r="C479" s="13"/>
      <c r="D479" s="15"/>
      <c r="E479" s="16"/>
      <c r="F479" s="16"/>
      <c r="G479" s="16"/>
      <c r="H479" s="16"/>
      <c r="I479" s="16"/>
      <c r="J479" s="18"/>
      <c r="K479" s="13"/>
      <c r="L479" s="5"/>
      <c r="O479" s="6"/>
      <c r="Q479" s="6"/>
    </row>
    <row r="480">
      <c r="A480" s="20"/>
      <c r="B480" s="13"/>
      <c r="C480" s="50" t="s">
        <v>14</v>
      </c>
      <c r="D480" s="22">
        <f>SUM(D474:D479)</f>
        <v>21</v>
      </c>
      <c r="E480" s="16"/>
      <c r="F480" s="16"/>
      <c r="G480" s="16"/>
      <c r="H480" s="51" t="s">
        <v>10</v>
      </c>
      <c r="I480" s="24"/>
      <c r="J480" s="25">
        <f>SUM(J474:J479)</f>
        <v>57503</v>
      </c>
      <c r="K480" s="13"/>
      <c r="L480" s="5"/>
      <c r="O480" s="6"/>
      <c r="Q480" s="6"/>
    </row>
    <row r="481">
      <c r="A481" s="20"/>
      <c r="B481" s="13"/>
      <c r="C481" s="13"/>
      <c r="D481" s="15"/>
      <c r="E481" s="16"/>
      <c r="F481" s="16"/>
      <c r="G481" s="16"/>
      <c r="H481" s="51" t="s">
        <v>16</v>
      </c>
      <c r="I481" s="24"/>
      <c r="J481" s="26">
        <f>J480/D480</f>
        <v>2738.238095</v>
      </c>
      <c r="K481" s="13"/>
      <c r="L481" s="5"/>
      <c r="O481" s="6"/>
      <c r="Q481" s="6"/>
    </row>
    <row r="482">
      <c r="A482" s="20"/>
      <c r="B482" s="13"/>
      <c r="C482" s="13"/>
      <c r="D482" s="15"/>
      <c r="E482" s="16"/>
      <c r="F482" s="16"/>
      <c r="G482" s="16"/>
      <c r="H482" s="16"/>
      <c r="I482" s="16"/>
      <c r="J482" s="18"/>
      <c r="K482" s="13"/>
      <c r="L482" s="5"/>
      <c r="O482" s="6"/>
      <c r="Q482" s="6"/>
    </row>
    <row r="483">
      <c r="A483" s="20"/>
      <c r="B483" s="13"/>
      <c r="C483" s="13"/>
      <c r="D483" s="15"/>
      <c r="E483" s="16"/>
      <c r="F483" s="16"/>
      <c r="G483" s="16"/>
      <c r="H483" s="51" t="s">
        <v>23</v>
      </c>
      <c r="I483" s="24"/>
      <c r="J483" s="25">
        <f>J480-J468</f>
        <v>4770.71</v>
      </c>
      <c r="K483" s="13"/>
      <c r="L483" s="5"/>
      <c r="O483" s="6"/>
      <c r="Q483" s="6"/>
    </row>
    <row r="484">
      <c r="A484" s="20"/>
      <c r="B484" s="13"/>
      <c r="C484" s="13"/>
      <c r="D484" s="15"/>
      <c r="E484" s="16"/>
      <c r="F484" s="16"/>
      <c r="G484" s="16"/>
      <c r="H484" s="16"/>
      <c r="I484" s="16"/>
      <c r="J484" s="18"/>
      <c r="K484" s="13"/>
      <c r="L484" s="5"/>
      <c r="O484" s="6"/>
      <c r="Q484" s="6"/>
    </row>
    <row r="485">
      <c r="A485" s="20"/>
      <c r="B485" s="13"/>
      <c r="C485" s="55" t="s">
        <v>22</v>
      </c>
      <c r="D485" s="15">
        <f>D468-D480</f>
        <v>0</v>
      </c>
      <c r="E485" s="16"/>
      <c r="F485" s="16"/>
      <c r="G485" s="16"/>
      <c r="H485" s="56" t="s">
        <v>24</v>
      </c>
      <c r="I485" s="24"/>
      <c r="J485" s="18" t="str">
        <f>J483/D485</f>
        <v>#DIV/0!</v>
      </c>
      <c r="K485" s="13"/>
      <c r="L485" s="5"/>
      <c r="O485" s="6"/>
      <c r="Q485" s="6"/>
    </row>
    <row r="486">
      <c r="A486" s="20"/>
      <c r="B486" s="13"/>
      <c r="C486" s="13"/>
      <c r="D486" s="15"/>
      <c r="E486" s="16"/>
      <c r="F486" s="16"/>
      <c r="G486" s="16"/>
      <c r="H486" s="57" t="s">
        <v>25</v>
      </c>
      <c r="I486" s="24"/>
      <c r="J486" s="18">
        <f>J483/D480</f>
        <v>227.1766667</v>
      </c>
      <c r="K486" s="13"/>
      <c r="L486" s="5"/>
      <c r="O486" s="6"/>
      <c r="Q486" s="6"/>
    </row>
    <row r="487">
      <c r="A487" s="20"/>
      <c r="B487" s="13"/>
      <c r="C487" s="13"/>
      <c r="D487" s="15"/>
      <c r="E487" s="16"/>
      <c r="F487" s="16"/>
      <c r="G487" s="16"/>
      <c r="H487" s="58"/>
      <c r="I487" s="58"/>
      <c r="J487" s="18"/>
      <c r="K487" s="13"/>
      <c r="L487" s="5"/>
      <c r="O487" s="6"/>
      <c r="Q487" s="6"/>
    </row>
    <row r="488" hidden="1">
      <c r="A488" s="20"/>
      <c r="B488" s="13"/>
      <c r="C488" s="13"/>
      <c r="D488" s="15"/>
      <c r="E488" s="16"/>
      <c r="F488" s="65"/>
      <c r="G488" s="66"/>
      <c r="H488" s="66"/>
      <c r="I488" s="67"/>
      <c r="J488" s="68"/>
      <c r="K488" s="13"/>
      <c r="L488" s="5"/>
      <c r="O488" s="6"/>
      <c r="Q488" s="6"/>
    </row>
    <row r="489" hidden="1">
      <c r="A489" s="20"/>
      <c r="B489" s="13"/>
      <c r="C489" s="13"/>
      <c r="D489" s="15"/>
      <c r="E489" s="16"/>
      <c r="F489" s="69"/>
      <c r="G489" s="66"/>
      <c r="H489" s="66"/>
      <c r="I489" s="67"/>
      <c r="J489" s="68"/>
      <c r="K489" s="13"/>
      <c r="L489" s="5"/>
      <c r="O489" s="6"/>
      <c r="Q489" s="6"/>
    </row>
    <row r="490">
      <c r="A490" s="20"/>
      <c r="B490" s="13"/>
      <c r="C490" s="13"/>
      <c r="D490" s="15"/>
      <c r="E490" s="16"/>
      <c r="F490" s="70"/>
      <c r="G490" s="70"/>
      <c r="H490" s="51" t="s">
        <v>36</v>
      </c>
      <c r="I490" s="24"/>
      <c r="J490" s="25">
        <f>J483+J488+J489</f>
        <v>4770.71</v>
      </c>
      <c r="K490" s="13"/>
      <c r="L490" s="5"/>
      <c r="O490" s="6"/>
      <c r="Q490" s="6"/>
    </row>
    <row r="491">
      <c r="A491" s="20"/>
      <c r="B491" s="13"/>
      <c r="C491" s="58" t="str">
        <f>IFERROR("Não sobrou",CONCATENATE("Parceria Mauro -&gt; Sobrou ",#REF!," cabeças, custando: ",TEXT(#REF!, "R$#,##")))</f>
        <v>Não sobrou</v>
      </c>
      <c r="J491" s="29"/>
      <c r="K491" s="13"/>
      <c r="L491" s="5"/>
      <c r="O491" s="6"/>
      <c r="Q491" s="6"/>
    </row>
    <row r="492">
      <c r="A492" s="20"/>
      <c r="B492" s="13"/>
      <c r="C492" s="58"/>
      <c r="D492" s="58"/>
      <c r="E492" s="58"/>
      <c r="F492" s="58"/>
      <c r="G492" s="58"/>
      <c r="H492" s="58"/>
      <c r="I492" s="58"/>
      <c r="J492" s="76"/>
      <c r="K492" s="13"/>
      <c r="L492" s="5"/>
      <c r="O492" s="6"/>
      <c r="Q492" s="6"/>
    </row>
    <row r="493">
      <c r="A493" s="59"/>
      <c r="B493" s="60"/>
      <c r="C493" s="61" t="str">
        <f>IF(J490&gt;0,CONCATENATE("Total de Lucro Parceria -&gt;: ",TEXT(J490, "R$#.##0,00")),"Não houve lucro")</f>
        <v>Total de Lucro Parceria -&gt;: R$4.770,71000</v>
      </c>
      <c r="D493" s="62"/>
      <c r="E493" s="62"/>
      <c r="F493" s="62"/>
      <c r="G493" s="62"/>
      <c r="H493" s="62"/>
      <c r="I493" s="62"/>
      <c r="J493" s="63"/>
      <c r="K493" s="13"/>
      <c r="L493" s="5"/>
      <c r="O493" s="6"/>
      <c r="Q493" s="6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5"/>
      <c r="O494" s="6"/>
      <c r="Q494" s="6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5"/>
      <c r="O495" s="6"/>
      <c r="Q495" s="6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5"/>
      <c r="O496" s="6"/>
      <c r="Q496" s="6"/>
    </row>
    <row r="497">
      <c r="A497" s="93" t="s">
        <v>98</v>
      </c>
      <c r="B497" s="2"/>
      <c r="C497" s="2"/>
      <c r="D497" s="2"/>
      <c r="E497" s="2"/>
      <c r="F497" s="2"/>
      <c r="G497" s="2"/>
      <c r="H497" s="2"/>
      <c r="I497" s="2"/>
      <c r="J497" s="3"/>
      <c r="K497" s="13"/>
      <c r="L497" s="5"/>
      <c r="O497" s="6"/>
      <c r="Q497" s="6"/>
    </row>
    <row r="498">
      <c r="A498" s="7" t="s">
        <v>1</v>
      </c>
      <c r="B498" s="8" t="s">
        <v>2</v>
      </c>
      <c r="C498" s="8" t="s">
        <v>3</v>
      </c>
      <c r="D498" s="9" t="s">
        <v>4</v>
      </c>
      <c r="E498" s="10" t="s">
        <v>5</v>
      </c>
      <c r="F498" s="10" t="s">
        <v>6</v>
      </c>
      <c r="G498" s="10" t="s">
        <v>7</v>
      </c>
      <c r="H498" s="10" t="s">
        <v>8</v>
      </c>
      <c r="I498" s="10" t="s">
        <v>9</v>
      </c>
      <c r="J498" s="11" t="s">
        <v>10</v>
      </c>
      <c r="K498" s="13"/>
      <c r="L498" s="5"/>
      <c r="O498" s="6"/>
      <c r="Q498" s="6"/>
    </row>
    <row r="499">
      <c r="A499" s="12"/>
      <c r="B499" s="98" t="s">
        <v>99</v>
      </c>
      <c r="C499" s="94" t="s">
        <v>100</v>
      </c>
      <c r="D499" s="91">
        <v>38.0</v>
      </c>
      <c r="E499" s="92">
        <v>2880.0</v>
      </c>
      <c r="F499" s="16">
        <f t="shared" ref="F499:F507" si="77">D499*E499</f>
        <v>109440</v>
      </c>
      <c r="G499" s="99">
        <v>1450.0</v>
      </c>
      <c r="H499" s="16"/>
      <c r="I499" s="16"/>
      <c r="J499" s="18">
        <f t="shared" ref="J499:J507" si="78">F499+G499+H499+I499</f>
        <v>110890</v>
      </c>
      <c r="K499" s="13"/>
      <c r="L499" s="5"/>
      <c r="O499" s="6"/>
      <c r="Q499" s="6"/>
    </row>
    <row r="500">
      <c r="A500" s="12"/>
      <c r="B500" s="98" t="s">
        <v>99</v>
      </c>
      <c r="C500" s="94" t="s">
        <v>101</v>
      </c>
      <c r="D500" s="95">
        <v>9.0</v>
      </c>
      <c r="E500" s="100">
        <v>2800.0</v>
      </c>
      <c r="F500" s="16">
        <f t="shared" si="77"/>
        <v>25200</v>
      </c>
      <c r="G500" s="99">
        <v>600.0</v>
      </c>
      <c r="H500" s="16">
        <f>15*9</f>
        <v>135</v>
      </c>
      <c r="I500" s="16"/>
      <c r="J500" s="18">
        <f t="shared" si="78"/>
        <v>25935</v>
      </c>
      <c r="K500" s="13"/>
      <c r="L500" s="5"/>
      <c r="O500" s="6"/>
      <c r="Q500" s="6"/>
    </row>
    <row r="501">
      <c r="A501" s="12"/>
      <c r="B501" s="98" t="s">
        <v>99</v>
      </c>
      <c r="C501" s="94" t="s">
        <v>102</v>
      </c>
      <c r="D501" s="91">
        <v>33.0</v>
      </c>
      <c r="E501" s="92">
        <v>3080.0</v>
      </c>
      <c r="F501" s="16">
        <f t="shared" si="77"/>
        <v>101640</v>
      </c>
      <c r="G501" s="6"/>
      <c r="H501" s="16"/>
      <c r="I501" s="16"/>
      <c r="J501" s="18">
        <f t="shared" si="78"/>
        <v>101640</v>
      </c>
      <c r="K501" s="13"/>
      <c r="L501" s="5"/>
      <c r="O501" s="6"/>
      <c r="Q501" s="6"/>
    </row>
    <row r="502">
      <c r="A502" s="12"/>
      <c r="B502" s="98" t="s">
        <v>99</v>
      </c>
      <c r="C502" s="94" t="s">
        <v>81</v>
      </c>
      <c r="D502" s="95">
        <v>9.0</v>
      </c>
      <c r="E502" s="96">
        <v>2950.0</v>
      </c>
      <c r="F502" s="16">
        <f t="shared" si="77"/>
        <v>26550</v>
      </c>
      <c r="G502" s="6"/>
      <c r="H502" s="16"/>
      <c r="I502" s="16"/>
      <c r="J502" s="18">
        <f t="shared" si="78"/>
        <v>26550</v>
      </c>
      <c r="K502" s="13"/>
      <c r="L502" s="5"/>
      <c r="O502" s="6"/>
      <c r="Q502" s="6"/>
    </row>
    <row r="503">
      <c r="A503" s="12"/>
      <c r="B503" s="98" t="s">
        <v>99</v>
      </c>
      <c r="C503" s="94" t="s">
        <v>100</v>
      </c>
      <c r="D503" s="95">
        <v>26.0</v>
      </c>
      <c r="E503" s="96">
        <v>2900.0</v>
      </c>
      <c r="F503" s="16">
        <f t="shared" si="77"/>
        <v>75400</v>
      </c>
      <c r="G503" s="99">
        <v>1450.0</v>
      </c>
      <c r="H503" s="16"/>
      <c r="I503" s="16"/>
      <c r="J503" s="18">
        <f t="shared" si="78"/>
        <v>76850</v>
      </c>
      <c r="K503" s="13"/>
      <c r="L503" s="5"/>
      <c r="O503" s="6"/>
      <c r="Q503" s="6"/>
    </row>
    <row r="504">
      <c r="A504" s="12"/>
      <c r="B504" s="98" t="s">
        <v>99</v>
      </c>
      <c r="C504" s="94" t="s">
        <v>81</v>
      </c>
      <c r="D504" s="95">
        <v>11.0</v>
      </c>
      <c r="E504" s="96">
        <v>2900.0</v>
      </c>
      <c r="F504" s="16">
        <f t="shared" si="77"/>
        <v>31900</v>
      </c>
      <c r="G504" s="6"/>
      <c r="H504" s="16"/>
      <c r="I504" s="16"/>
      <c r="J504" s="18">
        <f t="shared" si="78"/>
        <v>31900</v>
      </c>
      <c r="K504" s="13"/>
      <c r="L504" s="5"/>
      <c r="O504" s="6"/>
      <c r="Q504" s="6"/>
    </row>
    <row r="505" hidden="1">
      <c r="A505" s="12"/>
      <c r="B505" s="13"/>
      <c r="C505" s="89"/>
      <c r="D505" s="90"/>
      <c r="E505" s="43"/>
      <c r="F505" s="43">
        <f t="shared" si="77"/>
        <v>0</v>
      </c>
      <c r="G505" s="48"/>
      <c r="H505" s="43"/>
      <c r="I505" s="43"/>
      <c r="J505" s="45">
        <f t="shared" si="78"/>
        <v>0</v>
      </c>
      <c r="K505" s="13"/>
      <c r="L505" s="5"/>
      <c r="O505" s="6"/>
      <c r="Q505" s="6"/>
    </row>
    <row r="506" hidden="1">
      <c r="A506" s="12"/>
      <c r="B506" s="13"/>
      <c r="C506" s="14"/>
      <c r="D506" s="15"/>
      <c r="E506" s="16"/>
      <c r="F506" s="16">
        <f t="shared" si="77"/>
        <v>0</v>
      </c>
      <c r="G506" s="6"/>
      <c r="H506" s="16"/>
      <c r="I506" s="16"/>
      <c r="J506" s="18">
        <f t="shared" si="78"/>
        <v>0</v>
      </c>
      <c r="K506" s="13"/>
      <c r="L506" s="5"/>
      <c r="O506" s="6"/>
      <c r="Q506" s="6"/>
    </row>
    <row r="507" hidden="1">
      <c r="A507" s="12"/>
      <c r="B507" s="13"/>
      <c r="C507" s="14"/>
      <c r="D507" s="15"/>
      <c r="E507" s="16"/>
      <c r="F507" s="16">
        <f t="shared" si="77"/>
        <v>0</v>
      </c>
      <c r="G507" s="6"/>
      <c r="H507" s="16"/>
      <c r="I507" s="16"/>
      <c r="J507" s="18">
        <f t="shared" si="78"/>
        <v>0</v>
      </c>
      <c r="K507" s="13"/>
      <c r="L507" s="5"/>
      <c r="O507" s="6"/>
      <c r="Q507" s="6"/>
    </row>
    <row r="508">
      <c r="A508" s="12"/>
      <c r="B508" s="13"/>
      <c r="C508" s="14"/>
      <c r="D508" s="15"/>
      <c r="E508" s="16"/>
      <c r="F508" s="16"/>
      <c r="G508" s="6"/>
      <c r="H508" s="16"/>
      <c r="I508" s="16"/>
      <c r="J508" s="18"/>
      <c r="K508" s="13"/>
      <c r="L508" s="5"/>
      <c r="N508" s="101">
        <v>753.67</v>
      </c>
      <c r="O508" s="6"/>
      <c r="Q508" s="6"/>
    </row>
    <row r="509">
      <c r="A509" s="12"/>
      <c r="B509" s="13"/>
      <c r="C509" s="13"/>
      <c r="D509" s="15"/>
      <c r="E509" s="19"/>
      <c r="F509" s="16"/>
      <c r="G509" s="16"/>
      <c r="H509" s="16"/>
      <c r="I509" s="16"/>
      <c r="J509" s="18"/>
      <c r="K509" s="13"/>
      <c r="L509" s="5"/>
      <c r="N509" s="101">
        <v>730.88</v>
      </c>
      <c r="O509" s="6"/>
      <c r="Q509" s="6"/>
    </row>
    <row r="510">
      <c r="A510" s="20"/>
      <c r="B510" s="13"/>
      <c r="C510" s="21" t="s">
        <v>14</v>
      </c>
      <c r="D510" s="22">
        <f>SUM(D499:D509)</f>
        <v>126</v>
      </c>
      <c r="E510" s="16"/>
      <c r="F510" s="16"/>
      <c r="G510" s="16"/>
      <c r="H510" s="23" t="s">
        <v>15</v>
      </c>
      <c r="I510" s="24"/>
      <c r="J510" s="25">
        <f>SUM(J499:J509)</f>
        <v>373765</v>
      </c>
      <c r="K510" s="13"/>
      <c r="L510" s="5"/>
      <c r="N510" s="101">
        <v>1075.26</v>
      </c>
      <c r="O510" s="6"/>
      <c r="Q510" s="6"/>
    </row>
    <row r="511">
      <c r="A511" s="20"/>
      <c r="B511" s="13"/>
      <c r="C511" s="13"/>
      <c r="D511" s="15"/>
      <c r="E511" s="16"/>
      <c r="F511" s="16"/>
      <c r="G511" s="16"/>
      <c r="H511" s="23" t="s">
        <v>16</v>
      </c>
      <c r="I511" s="24"/>
      <c r="J511" s="26">
        <f>J510/D510</f>
        <v>2966.388889</v>
      </c>
      <c r="K511" s="13"/>
      <c r="L511" s="5"/>
      <c r="N511" s="49">
        <f>SUM(N508:N510)</f>
        <v>2559.81</v>
      </c>
      <c r="O511" s="6"/>
      <c r="Q511" s="6"/>
    </row>
    <row r="512">
      <c r="A512" s="20"/>
      <c r="B512" s="13"/>
      <c r="C512" s="13"/>
      <c r="D512" s="15"/>
      <c r="E512" s="16"/>
      <c r="F512" s="16"/>
      <c r="G512" s="16"/>
      <c r="H512" s="16"/>
      <c r="I512" s="16"/>
      <c r="J512" s="18"/>
      <c r="K512" s="13"/>
      <c r="L512" s="5"/>
      <c r="O512" s="6"/>
      <c r="Q512" s="6"/>
    </row>
    <row r="513">
      <c r="A513" s="20"/>
      <c r="B513" s="13"/>
      <c r="C513" s="13"/>
      <c r="D513" s="15"/>
      <c r="E513" s="16"/>
      <c r="F513" s="16"/>
      <c r="G513" s="16"/>
      <c r="H513" s="16"/>
      <c r="I513" s="16"/>
      <c r="J513" s="18"/>
      <c r="K513" s="13"/>
      <c r="L513" s="5"/>
      <c r="O513" s="6"/>
      <c r="Q513" s="6"/>
    </row>
    <row r="514">
      <c r="A514" s="20"/>
      <c r="B514" s="13"/>
      <c r="C514" s="13"/>
      <c r="D514" s="15"/>
      <c r="E514" s="16"/>
      <c r="F514" s="16"/>
      <c r="G514" s="16"/>
      <c r="H514" s="28" t="str">
        <f>CONCATENATE("Temos ",D510," cabeças, custando: ",TEXT(J511, "R$#.###,##"))</f>
        <v>Temos 126 cabeças, custando: R$2.966,38889</v>
      </c>
      <c r="J514" s="29"/>
      <c r="K514" s="13"/>
      <c r="L514" s="5"/>
      <c r="O514" s="6"/>
      <c r="Q514" s="6"/>
    </row>
    <row r="515">
      <c r="A515" s="30" t="s">
        <v>1</v>
      </c>
      <c r="B515" s="31" t="s">
        <v>2</v>
      </c>
      <c r="C515" s="31" t="s">
        <v>3</v>
      </c>
      <c r="D515" s="32" t="s">
        <v>4</v>
      </c>
      <c r="E515" s="33" t="s">
        <v>5</v>
      </c>
      <c r="F515" s="33" t="s">
        <v>6</v>
      </c>
      <c r="G515" s="33" t="s">
        <v>7</v>
      </c>
      <c r="H515" s="33" t="s">
        <v>8</v>
      </c>
      <c r="I515" s="33" t="s">
        <v>17</v>
      </c>
      <c r="J515" s="34" t="s">
        <v>10</v>
      </c>
      <c r="K515" s="13"/>
      <c r="L515" s="5"/>
      <c r="O515" s="6"/>
      <c r="Q515" s="6"/>
    </row>
    <row r="516">
      <c r="A516" s="12"/>
      <c r="B516" s="13"/>
      <c r="C516" s="13"/>
      <c r="D516" s="91">
        <v>27.0</v>
      </c>
      <c r="E516" s="102">
        <f>F516/D516</f>
        <v>3256.518519</v>
      </c>
      <c r="F516" s="96">
        <v>87926.0</v>
      </c>
      <c r="G516" s="37">
        <f>-F516+86450</f>
        <v>-1476</v>
      </c>
      <c r="H516" s="92"/>
      <c r="I516" s="37">
        <f t="shared" ref="I516:I517" si="79">D516*-4.85</f>
        <v>-130.95</v>
      </c>
      <c r="J516" s="18">
        <f t="shared" ref="J516:J520" si="80">F516+G516+H516+I516</f>
        <v>86319.05</v>
      </c>
      <c r="K516" s="13"/>
      <c r="L516" s="5"/>
      <c r="O516" s="6"/>
      <c r="Q516" s="6"/>
    </row>
    <row r="517">
      <c r="A517" s="12"/>
      <c r="B517" s="13"/>
      <c r="C517" s="13"/>
      <c r="D517" s="91">
        <v>80.0</v>
      </c>
      <c r="E517" s="92">
        <v>3100.0</v>
      </c>
      <c r="F517" s="16">
        <f t="shared" ref="F517:F520" si="81">D517*E517</f>
        <v>248000</v>
      </c>
      <c r="G517" s="36"/>
      <c r="H517" s="36"/>
      <c r="I517" s="37">
        <f t="shared" si="79"/>
        <v>-388</v>
      </c>
      <c r="J517" s="18">
        <f t="shared" si="80"/>
        <v>247612</v>
      </c>
      <c r="K517" s="13"/>
      <c r="L517" s="5"/>
      <c r="O517" s="6"/>
      <c r="Q517" s="6"/>
    </row>
    <row r="518">
      <c r="A518" s="12"/>
      <c r="B518" s="13"/>
      <c r="C518" s="13"/>
      <c r="D518" s="91">
        <v>19.0</v>
      </c>
      <c r="E518" s="92">
        <v>2900.0</v>
      </c>
      <c r="F518" s="16">
        <f t="shared" si="81"/>
        <v>55100</v>
      </c>
      <c r="G518" s="36"/>
      <c r="H518" s="37"/>
      <c r="I518" s="37"/>
      <c r="J518" s="18">
        <f t="shared" si="80"/>
        <v>55100</v>
      </c>
      <c r="K518" s="13"/>
      <c r="L518" s="5"/>
      <c r="O518" s="6"/>
      <c r="Q518" s="6"/>
    </row>
    <row r="519" hidden="1">
      <c r="A519" s="12"/>
      <c r="B519" s="13"/>
      <c r="C519" s="13"/>
      <c r="D519" s="35"/>
      <c r="E519" s="36"/>
      <c r="F519" s="16">
        <f t="shared" si="81"/>
        <v>0</v>
      </c>
      <c r="G519" s="36"/>
      <c r="H519" s="36"/>
      <c r="I519" s="37"/>
      <c r="J519" s="18">
        <f t="shared" si="80"/>
        <v>0</v>
      </c>
      <c r="K519" s="13"/>
      <c r="L519" s="5"/>
      <c r="O519" s="6"/>
      <c r="Q519" s="6"/>
    </row>
    <row r="520" hidden="1">
      <c r="A520" s="12"/>
      <c r="B520" s="13"/>
      <c r="C520" s="13"/>
      <c r="D520" s="35"/>
      <c r="E520" s="36"/>
      <c r="F520" s="16">
        <f t="shared" si="81"/>
        <v>0</v>
      </c>
      <c r="G520" s="36"/>
      <c r="H520" s="36"/>
      <c r="I520" s="37"/>
      <c r="J520" s="18">
        <f t="shared" si="80"/>
        <v>0</v>
      </c>
      <c r="K520" s="13"/>
      <c r="L520" s="5"/>
      <c r="O520" s="6"/>
      <c r="Q520" s="6"/>
    </row>
    <row r="521">
      <c r="A521" s="12"/>
      <c r="B521" s="13"/>
      <c r="C521" s="13"/>
      <c r="D521" s="15"/>
      <c r="E521" s="16"/>
      <c r="F521" s="16"/>
      <c r="G521" s="16"/>
      <c r="H521" s="16"/>
      <c r="I521" s="16"/>
      <c r="J521" s="18"/>
      <c r="K521" s="13"/>
      <c r="L521" s="5"/>
      <c r="O521" s="6"/>
      <c r="Q521" s="6"/>
    </row>
    <row r="522">
      <c r="A522" s="20"/>
      <c r="B522" s="13"/>
      <c r="C522" s="50" t="s">
        <v>14</v>
      </c>
      <c r="D522" s="22">
        <f>SUM(D516:D521)</f>
        <v>126</v>
      </c>
      <c r="E522" s="16"/>
      <c r="F522" s="16"/>
      <c r="G522" s="16"/>
      <c r="H522" s="51" t="s">
        <v>10</v>
      </c>
      <c r="I522" s="24"/>
      <c r="J522" s="25">
        <f>SUM(J516:J521)</f>
        <v>389031.05</v>
      </c>
      <c r="K522" s="13"/>
      <c r="L522" s="5"/>
      <c r="O522" s="6"/>
      <c r="Q522" s="6"/>
    </row>
    <row r="523">
      <c r="A523" s="20"/>
      <c r="B523" s="13"/>
      <c r="C523" s="13"/>
      <c r="D523" s="15"/>
      <c r="E523" s="16"/>
      <c r="F523" s="16"/>
      <c r="G523" s="16"/>
      <c r="H523" s="51" t="s">
        <v>16</v>
      </c>
      <c r="I523" s="24"/>
      <c r="J523" s="26">
        <f>J522/D522</f>
        <v>3087.548016</v>
      </c>
      <c r="K523" s="13"/>
      <c r="L523" s="5"/>
      <c r="O523" s="6"/>
      <c r="Q523" s="6"/>
    </row>
    <row r="524">
      <c r="A524" s="20"/>
      <c r="B524" s="13"/>
      <c r="C524" s="13"/>
      <c r="D524" s="15"/>
      <c r="E524" s="16"/>
      <c r="F524" s="16"/>
      <c r="G524" s="16"/>
      <c r="H524" s="16"/>
      <c r="I524" s="16"/>
      <c r="J524" s="18"/>
      <c r="K524" s="13"/>
      <c r="L524" s="5"/>
      <c r="O524" s="6"/>
      <c r="Q524" s="6"/>
    </row>
    <row r="525">
      <c r="A525" s="20"/>
      <c r="B525" s="13"/>
      <c r="C525" s="13"/>
      <c r="D525" s="15"/>
      <c r="E525" s="16"/>
      <c r="F525" s="16"/>
      <c r="G525" s="16"/>
      <c r="H525" s="51" t="s">
        <v>23</v>
      </c>
      <c r="I525" s="24"/>
      <c r="J525" s="25">
        <f>J522-J510</f>
        <v>15266.05</v>
      </c>
      <c r="K525" s="13"/>
      <c r="L525" s="5"/>
      <c r="O525" s="6"/>
      <c r="Q525" s="6"/>
    </row>
    <row r="526">
      <c r="A526" s="20"/>
      <c r="B526" s="13"/>
      <c r="C526" s="13"/>
      <c r="D526" s="15"/>
      <c r="E526" s="16"/>
      <c r="F526" s="16"/>
      <c r="G526" s="16"/>
      <c r="H526" s="16"/>
      <c r="I526" s="16"/>
      <c r="J526" s="18"/>
      <c r="K526" s="13"/>
      <c r="L526" s="5"/>
      <c r="O526" s="6"/>
      <c r="Q526" s="6"/>
    </row>
    <row r="527">
      <c r="A527" s="20"/>
      <c r="B527" s="13"/>
      <c r="C527" s="55" t="s">
        <v>22</v>
      </c>
      <c r="D527" s="15">
        <f>D510-D522</f>
        <v>0</v>
      </c>
      <c r="E527" s="16"/>
      <c r="F527" s="16"/>
      <c r="G527" s="16"/>
      <c r="H527" s="56" t="s">
        <v>24</v>
      </c>
      <c r="I527" s="24"/>
      <c r="J527" s="18" t="str">
        <f>J525/D527</f>
        <v>#DIV/0!</v>
      </c>
      <c r="K527" s="13"/>
      <c r="L527" s="5"/>
      <c r="O527" s="6"/>
      <c r="Q527" s="6"/>
    </row>
    <row r="528">
      <c r="A528" s="20"/>
      <c r="B528" s="13"/>
      <c r="C528" s="13"/>
      <c r="D528" s="15"/>
      <c r="E528" s="16"/>
      <c r="F528" s="16"/>
      <c r="G528" s="16"/>
      <c r="H528" s="57" t="s">
        <v>25</v>
      </c>
      <c r="I528" s="24"/>
      <c r="J528" s="18">
        <f>J525/D522</f>
        <v>121.159127</v>
      </c>
      <c r="K528" s="13"/>
      <c r="L528" s="5"/>
      <c r="O528" s="6"/>
      <c r="Q528" s="6"/>
    </row>
    <row r="529">
      <c r="A529" s="20"/>
      <c r="B529" s="13"/>
      <c r="C529" s="13"/>
      <c r="D529" s="15"/>
      <c r="E529" s="16"/>
      <c r="F529" s="16"/>
      <c r="G529" s="16"/>
      <c r="H529" s="58"/>
      <c r="I529" s="58"/>
      <c r="J529" s="18"/>
      <c r="K529" s="13"/>
      <c r="L529" s="5"/>
      <c r="O529" s="6"/>
      <c r="Q529" s="6"/>
    </row>
    <row r="530">
      <c r="A530" s="20"/>
      <c r="B530" s="13"/>
      <c r="C530" s="13"/>
      <c r="D530" s="15"/>
      <c r="E530" s="103" t="s">
        <v>103</v>
      </c>
      <c r="F530" s="66"/>
      <c r="G530" s="66"/>
      <c r="H530" s="66"/>
      <c r="I530" s="67"/>
      <c r="J530" s="104">
        <v>-271.6</v>
      </c>
      <c r="K530" s="13"/>
      <c r="L530" s="5"/>
      <c r="O530" s="6"/>
      <c r="Q530" s="6"/>
    </row>
    <row r="531" hidden="1">
      <c r="A531" s="20"/>
      <c r="B531" s="13"/>
      <c r="C531" s="13"/>
      <c r="D531" s="15"/>
      <c r="E531" s="16"/>
      <c r="J531" s="68"/>
      <c r="K531" s="13"/>
      <c r="L531" s="5"/>
      <c r="O531" s="6"/>
      <c r="Q531" s="6"/>
    </row>
    <row r="532">
      <c r="A532" s="20"/>
      <c r="B532" s="13"/>
      <c r="C532" s="13"/>
      <c r="D532" s="15"/>
      <c r="E532" s="16"/>
      <c r="F532" s="70"/>
      <c r="G532" s="70"/>
      <c r="H532" s="51" t="s">
        <v>36</v>
      </c>
      <c r="I532" s="24"/>
      <c r="J532" s="25">
        <f>J525+J530+J531</f>
        <v>14994.45</v>
      </c>
      <c r="K532" s="13">
        <f>J532/2</f>
        <v>7497.225</v>
      </c>
      <c r="L532" s="5"/>
      <c r="O532" s="6"/>
      <c r="Q532" s="6"/>
    </row>
    <row r="533">
      <c r="A533" s="20"/>
      <c r="B533" s="13"/>
      <c r="C533" s="58" t="str">
        <f>IFERROR("Não sobrou",CONCATENATE("Parceria Mauro -&gt; Sobrou ",#REF!," cabeças, custando: ",TEXT(#REF!, "R$#,##")))</f>
        <v>Não sobrou</v>
      </c>
      <c r="J533" s="29"/>
      <c r="K533" s="13"/>
      <c r="L533" s="5"/>
      <c r="O533" s="6"/>
      <c r="Q533" s="6"/>
    </row>
    <row r="534">
      <c r="A534" s="20"/>
      <c r="B534" s="13"/>
      <c r="C534" s="58"/>
      <c r="D534" s="58"/>
      <c r="E534" s="58"/>
      <c r="F534" s="58"/>
      <c r="G534" s="58"/>
      <c r="H534" s="58"/>
      <c r="I534" s="58"/>
      <c r="J534" s="76"/>
      <c r="K534" s="13"/>
      <c r="L534" s="5"/>
      <c r="O534" s="6"/>
      <c r="Q534" s="6"/>
    </row>
    <row r="535">
      <c r="A535" s="59"/>
      <c r="B535" s="60"/>
      <c r="C535" s="61" t="str">
        <f>IF(J532&gt;0,CONCATENATE("Total de Lucro Parceria -&gt;: ",TEXT(J532, "R$#.##0,00")),"Não houve lucro")</f>
        <v>Total de Lucro Parceria -&gt;: R$14.994,45000</v>
      </c>
      <c r="D535" s="62"/>
      <c r="E535" s="62"/>
      <c r="F535" s="62"/>
      <c r="G535" s="62"/>
      <c r="H535" s="62"/>
      <c r="I535" s="62"/>
      <c r="J535" s="63"/>
      <c r="K535" s="13"/>
      <c r="L535" s="5"/>
      <c r="O535" s="6"/>
      <c r="Q535" s="6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5"/>
      <c r="O536" s="6"/>
      <c r="Q536" s="6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5"/>
      <c r="O537" s="6"/>
      <c r="Q537" s="6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5"/>
      <c r="O538" s="6"/>
      <c r="Q538" s="6"/>
    </row>
    <row r="539">
      <c r="A539" s="93" t="s">
        <v>96</v>
      </c>
      <c r="B539" s="2"/>
      <c r="C539" s="2"/>
      <c r="D539" s="2"/>
      <c r="E539" s="2"/>
      <c r="F539" s="2"/>
      <c r="G539" s="2"/>
      <c r="H539" s="2"/>
      <c r="I539" s="2"/>
      <c r="J539" s="3"/>
      <c r="K539" s="13"/>
      <c r="L539" s="5"/>
      <c r="O539" s="6"/>
      <c r="Q539" s="6"/>
    </row>
    <row r="540">
      <c r="A540" s="7" t="s">
        <v>1</v>
      </c>
      <c r="B540" s="8" t="s">
        <v>2</v>
      </c>
      <c r="C540" s="8" t="s">
        <v>3</v>
      </c>
      <c r="D540" s="9" t="s">
        <v>4</v>
      </c>
      <c r="E540" s="10" t="s">
        <v>5</v>
      </c>
      <c r="F540" s="10" t="s">
        <v>6</v>
      </c>
      <c r="G540" s="10" t="s">
        <v>7</v>
      </c>
      <c r="H540" s="10" t="s">
        <v>8</v>
      </c>
      <c r="I540" s="10" t="s">
        <v>9</v>
      </c>
      <c r="J540" s="11" t="s">
        <v>10</v>
      </c>
      <c r="K540" s="13"/>
      <c r="L540" s="5"/>
      <c r="O540" s="6"/>
      <c r="Q540" s="6"/>
    </row>
    <row r="541">
      <c r="A541" s="12"/>
      <c r="B541" s="98" t="s">
        <v>38</v>
      </c>
      <c r="C541" s="94" t="s">
        <v>22</v>
      </c>
      <c r="D541" s="15">
        <v>8.0</v>
      </c>
      <c r="E541" s="80">
        <v>3500.0</v>
      </c>
      <c r="F541" s="16">
        <f>D541*E541</f>
        <v>28000</v>
      </c>
      <c r="G541" s="6"/>
      <c r="H541" s="16"/>
      <c r="I541" s="16"/>
      <c r="J541" s="18">
        <f>F541+G541+H541+I541</f>
        <v>28000</v>
      </c>
      <c r="K541" s="13"/>
      <c r="L541" s="5"/>
      <c r="O541" s="6"/>
      <c r="Q541" s="6"/>
    </row>
    <row r="542">
      <c r="A542" s="12"/>
      <c r="B542" s="13"/>
      <c r="C542" s="14"/>
      <c r="D542" s="15"/>
      <c r="E542" s="16"/>
      <c r="F542" s="16"/>
      <c r="G542" s="6"/>
      <c r="H542" s="16"/>
      <c r="I542" s="16"/>
      <c r="J542" s="18"/>
      <c r="K542" s="13"/>
      <c r="L542" s="5"/>
      <c r="O542" s="6"/>
      <c r="Q542" s="6"/>
    </row>
    <row r="543">
      <c r="A543" s="12"/>
      <c r="B543" s="13"/>
      <c r="C543" s="13"/>
      <c r="D543" s="15"/>
      <c r="E543" s="19"/>
      <c r="F543" s="16"/>
      <c r="G543" s="16"/>
      <c r="H543" s="16"/>
      <c r="I543" s="16"/>
      <c r="J543" s="18"/>
      <c r="K543" s="13"/>
      <c r="L543" s="5"/>
      <c r="O543" s="6"/>
      <c r="Q543" s="6"/>
    </row>
    <row r="544">
      <c r="A544" s="20"/>
      <c r="B544" s="13"/>
      <c r="C544" s="21" t="s">
        <v>14</v>
      </c>
      <c r="D544" s="22">
        <f>SUM(D541:D543)</f>
        <v>8</v>
      </c>
      <c r="E544" s="16"/>
      <c r="F544" s="16"/>
      <c r="G544" s="16"/>
      <c r="H544" s="23" t="s">
        <v>15</v>
      </c>
      <c r="I544" s="24"/>
      <c r="J544" s="25">
        <f>SUM(J541:J543)</f>
        <v>28000</v>
      </c>
      <c r="K544" s="13"/>
      <c r="L544" s="5"/>
      <c r="O544" s="6"/>
      <c r="Q544" s="6"/>
    </row>
    <row r="545">
      <c r="A545" s="20"/>
      <c r="B545" s="13"/>
      <c r="C545" s="13"/>
      <c r="D545" s="15"/>
      <c r="E545" s="16"/>
      <c r="F545" s="16"/>
      <c r="G545" s="16"/>
      <c r="H545" s="23" t="s">
        <v>16</v>
      </c>
      <c r="I545" s="24"/>
      <c r="J545" s="26">
        <f>J544/D544</f>
        <v>3500</v>
      </c>
      <c r="K545" s="13"/>
      <c r="L545" s="5"/>
      <c r="O545" s="6"/>
      <c r="Q545" s="6"/>
    </row>
    <row r="546">
      <c r="A546" s="20"/>
      <c r="B546" s="13"/>
      <c r="C546" s="13"/>
      <c r="D546" s="15"/>
      <c r="E546" s="16"/>
      <c r="F546" s="16"/>
      <c r="G546" s="16"/>
      <c r="H546" s="16"/>
      <c r="I546" s="16"/>
      <c r="J546" s="18"/>
      <c r="K546" s="13"/>
      <c r="L546" s="5"/>
      <c r="O546" s="6"/>
      <c r="Q546" s="6"/>
    </row>
    <row r="547">
      <c r="A547" s="20"/>
      <c r="B547" s="13"/>
      <c r="C547" s="13"/>
      <c r="D547" s="15"/>
      <c r="E547" s="16"/>
      <c r="F547" s="16"/>
      <c r="G547" s="16"/>
      <c r="H547" s="16"/>
      <c r="I547" s="16"/>
      <c r="J547" s="18"/>
      <c r="K547" s="13"/>
      <c r="L547" s="5"/>
      <c r="O547" s="6"/>
      <c r="Q547" s="6"/>
    </row>
    <row r="548">
      <c r="A548" s="20"/>
      <c r="B548" s="13"/>
      <c r="C548" s="13"/>
      <c r="D548" s="15"/>
      <c r="E548" s="16"/>
      <c r="F548" s="16"/>
      <c r="G548" s="16"/>
      <c r="H548" s="28" t="str">
        <f>CONCATENATE("Temos ",D544," cabeças, custando: ",TEXT(J545, "R$#.###,##"))</f>
        <v>Temos 8 cabeças, custando: R$3.500,</v>
      </c>
      <c r="J548" s="29"/>
      <c r="K548" s="16">
        <v>-14.549999999999999</v>
      </c>
      <c r="L548" s="5"/>
      <c r="O548" s="6"/>
      <c r="Q548" s="6"/>
    </row>
    <row r="549">
      <c r="A549" s="30" t="s">
        <v>1</v>
      </c>
      <c r="B549" s="31" t="s">
        <v>2</v>
      </c>
      <c r="C549" s="31" t="s">
        <v>3</v>
      </c>
      <c r="D549" s="32" t="s">
        <v>4</v>
      </c>
      <c r="E549" s="33" t="s">
        <v>5</v>
      </c>
      <c r="F549" s="33" t="s">
        <v>6</v>
      </c>
      <c r="G549" s="33" t="s">
        <v>7</v>
      </c>
      <c r="H549" s="33" t="s">
        <v>8</v>
      </c>
      <c r="I549" s="33" t="s">
        <v>17</v>
      </c>
      <c r="J549" s="34" t="s">
        <v>10</v>
      </c>
      <c r="K549" s="16">
        <v>-82.44999999999999</v>
      </c>
      <c r="L549" s="5"/>
      <c r="O549" s="6"/>
      <c r="Q549" s="6"/>
    </row>
    <row r="550">
      <c r="A550" s="97">
        <v>46232.0</v>
      </c>
      <c r="B550" s="98" t="s">
        <v>20</v>
      </c>
      <c r="C550" s="98" t="s">
        <v>104</v>
      </c>
      <c r="D550" s="91">
        <v>8.0</v>
      </c>
      <c r="E550" s="92">
        <f>30576/8</f>
        <v>3822</v>
      </c>
      <c r="F550" s="16">
        <f t="shared" ref="F550:F551" si="82">D550*E550</f>
        <v>30576</v>
      </c>
      <c r="G550" s="36"/>
      <c r="H550" s="92"/>
      <c r="I550" s="37">
        <f>D550*-4.85</f>
        <v>-38.8</v>
      </c>
      <c r="J550" s="18">
        <f t="shared" ref="J550:J551" si="83">F550+G550+H550+I550</f>
        <v>30537.2</v>
      </c>
      <c r="K550" s="16">
        <v>-38.8</v>
      </c>
      <c r="L550" s="5"/>
      <c r="O550" s="6"/>
      <c r="Q550" s="6"/>
    </row>
    <row r="551">
      <c r="A551" s="12"/>
      <c r="B551" s="13"/>
      <c r="C551" s="13"/>
      <c r="D551" s="35"/>
      <c r="E551" s="36"/>
      <c r="F551" s="16">
        <f t="shared" si="82"/>
        <v>0</v>
      </c>
      <c r="G551" s="36"/>
      <c r="H551" s="36"/>
      <c r="I551" s="37"/>
      <c r="J551" s="18">
        <f t="shared" si="83"/>
        <v>0</v>
      </c>
      <c r="K551" s="16">
        <v>-14.549999999999999</v>
      </c>
      <c r="L551" s="5"/>
      <c r="O551" s="6"/>
      <c r="Q551" s="6"/>
    </row>
    <row r="552">
      <c r="A552" s="12"/>
      <c r="B552" s="13"/>
      <c r="C552" s="13"/>
      <c r="D552" s="15"/>
      <c r="E552" s="16"/>
      <c r="F552" s="16"/>
      <c r="G552" s="16"/>
      <c r="H552" s="16"/>
      <c r="I552" s="16"/>
      <c r="J552" s="18"/>
      <c r="K552" s="16">
        <v>-82.44999999999999</v>
      </c>
      <c r="L552" s="5"/>
      <c r="O552" s="6"/>
      <c r="Q552" s="6"/>
    </row>
    <row r="553">
      <c r="A553" s="20"/>
      <c r="B553" s="13"/>
      <c r="C553" s="50" t="s">
        <v>14</v>
      </c>
      <c r="D553" s="22">
        <f>SUM(D550:D552)</f>
        <v>8</v>
      </c>
      <c r="E553" s="16"/>
      <c r="F553" s="16"/>
      <c r="G553" s="16"/>
      <c r="H553" s="51" t="s">
        <v>10</v>
      </c>
      <c r="I553" s="24"/>
      <c r="J553" s="25">
        <f>SUM(J550:J552)</f>
        <v>30537.2</v>
      </c>
      <c r="K553" s="16">
        <v>-38.8</v>
      </c>
      <c r="L553" s="5"/>
      <c r="O553" s="6"/>
      <c r="Q553" s="6"/>
    </row>
    <row r="554">
      <c r="A554" s="20"/>
      <c r="B554" s="13"/>
      <c r="C554" s="13"/>
      <c r="D554" s="15"/>
      <c r="E554" s="16"/>
      <c r="F554" s="16"/>
      <c r="G554" s="16"/>
      <c r="H554" s="51" t="s">
        <v>16</v>
      </c>
      <c r="I554" s="24"/>
      <c r="J554" s="26">
        <f>J553/D553</f>
        <v>3817.15</v>
      </c>
      <c r="K554" s="13"/>
      <c r="L554" s="5"/>
      <c r="O554" s="6"/>
      <c r="Q554" s="6"/>
    </row>
    <row r="555">
      <c r="A555" s="20"/>
      <c r="B555" s="13"/>
      <c r="C555" s="13"/>
      <c r="D555" s="15"/>
      <c r="E555" s="16"/>
      <c r="F555" s="16"/>
      <c r="G555" s="16"/>
      <c r="H555" s="16"/>
      <c r="I555" s="16"/>
      <c r="J555" s="18"/>
      <c r="K555" s="13"/>
      <c r="L555" s="5"/>
      <c r="O555" s="6"/>
      <c r="Q555" s="6"/>
    </row>
    <row r="556">
      <c r="A556" s="20"/>
      <c r="B556" s="13"/>
      <c r="C556" s="13"/>
      <c r="D556" s="15"/>
      <c r="E556" s="16"/>
      <c r="F556" s="16"/>
      <c r="G556" s="16"/>
      <c r="H556" s="51" t="s">
        <v>23</v>
      </c>
      <c r="I556" s="24"/>
      <c r="J556" s="25">
        <f>J553-J544</f>
        <v>2537.2</v>
      </c>
      <c r="K556" s="13"/>
      <c r="L556" s="5"/>
      <c r="O556" s="6"/>
      <c r="Q556" s="6"/>
    </row>
    <row r="557">
      <c r="A557" s="20"/>
      <c r="B557" s="13"/>
      <c r="C557" s="13"/>
      <c r="D557" s="15"/>
      <c r="E557" s="16"/>
      <c r="F557" s="16"/>
      <c r="G557" s="16"/>
      <c r="H557" s="16"/>
      <c r="I557" s="16"/>
      <c r="J557" s="18"/>
      <c r="K557" s="13"/>
      <c r="L557" s="5"/>
      <c r="O557" s="6"/>
      <c r="Q557" s="6"/>
    </row>
    <row r="558">
      <c r="A558" s="20"/>
      <c r="B558" s="13"/>
      <c r="C558" s="55" t="s">
        <v>22</v>
      </c>
      <c r="D558" s="15">
        <f>D544-D553</f>
        <v>0</v>
      </c>
      <c r="E558" s="16"/>
      <c r="F558" s="16"/>
      <c r="G558" s="16"/>
      <c r="H558" s="56" t="s">
        <v>24</v>
      </c>
      <c r="I558" s="24"/>
      <c r="J558" s="18" t="str">
        <f>J556/D558</f>
        <v>#DIV/0!</v>
      </c>
      <c r="K558" s="13"/>
      <c r="L558" s="5"/>
      <c r="O558" s="6"/>
      <c r="Q558" s="6"/>
    </row>
    <row r="559">
      <c r="A559" s="20"/>
      <c r="B559" s="13"/>
      <c r="C559" s="13"/>
      <c r="D559" s="15"/>
      <c r="E559" s="16"/>
      <c r="F559" s="16"/>
      <c r="G559" s="16"/>
      <c r="H559" s="57" t="s">
        <v>25</v>
      </c>
      <c r="I559" s="24"/>
      <c r="J559" s="18">
        <f>J556/D553</f>
        <v>317.15</v>
      </c>
      <c r="K559" s="13"/>
      <c r="L559" s="5"/>
      <c r="O559" s="6"/>
      <c r="Q559" s="6"/>
    </row>
    <row r="560">
      <c r="A560" s="20"/>
      <c r="B560" s="13"/>
      <c r="C560" s="13"/>
      <c r="D560" s="15"/>
      <c r="E560" s="16"/>
      <c r="F560" s="16"/>
      <c r="G560" s="16"/>
      <c r="H560" s="58"/>
      <c r="I560" s="58"/>
      <c r="J560" s="18"/>
      <c r="K560" s="13"/>
      <c r="L560" s="5"/>
      <c r="O560" s="6"/>
      <c r="Q560" s="6"/>
    </row>
    <row r="561">
      <c r="A561" s="20"/>
      <c r="B561" s="13"/>
      <c r="C561" s="13"/>
      <c r="D561" s="15"/>
      <c r="E561" s="16"/>
      <c r="F561" s="103" t="s">
        <v>105</v>
      </c>
      <c r="G561" s="66"/>
      <c r="H561" s="66"/>
      <c r="I561" s="67"/>
      <c r="J561" s="104">
        <v>-2000.0</v>
      </c>
      <c r="K561" s="13"/>
      <c r="L561" s="5"/>
      <c r="O561" s="6"/>
      <c r="Q561" s="6"/>
    </row>
    <row r="562">
      <c r="A562" s="20"/>
      <c r="B562" s="13"/>
      <c r="C562" s="13"/>
      <c r="D562" s="15"/>
      <c r="E562" s="16"/>
      <c r="F562" s="69"/>
      <c r="G562" s="66"/>
      <c r="H562" s="66"/>
      <c r="I562" s="67"/>
      <c r="J562" s="68"/>
      <c r="K562" s="13"/>
      <c r="L562" s="5"/>
      <c r="O562" s="6"/>
      <c r="Q562" s="6"/>
    </row>
    <row r="563">
      <c r="A563" s="20"/>
      <c r="B563" s="13"/>
      <c r="C563" s="13"/>
      <c r="D563" s="15"/>
      <c r="E563" s="16"/>
      <c r="F563" s="70"/>
      <c r="G563" s="70"/>
      <c r="H563" s="51" t="s">
        <v>36</v>
      </c>
      <c r="I563" s="24"/>
      <c r="J563" s="25">
        <f>J556+J561+J562</f>
        <v>537.2</v>
      </c>
      <c r="K563" s="13"/>
      <c r="L563" s="5"/>
      <c r="O563" s="6"/>
      <c r="Q563" s="6"/>
    </row>
    <row r="564">
      <c r="A564" s="20"/>
      <c r="B564" s="13"/>
      <c r="C564" s="58" t="str">
        <f>IFERROR("Não sobrou",CONCATENATE("Parceria Mauro -&gt; Sobrou ",#REF!," cabeças, custando: ",TEXT(#REF!, "R$#,##")))</f>
        <v>Não sobrou</v>
      </c>
      <c r="J564" s="29"/>
      <c r="K564" s="13"/>
      <c r="L564" s="5"/>
      <c r="O564" s="6"/>
      <c r="Q564" s="6"/>
    </row>
    <row r="565">
      <c r="A565" s="20"/>
      <c r="B565" s="13"/>
      <c r="C565" s="58"/>
      <c r="D565" s="58"/>
      <c r="E565" s="58"/>
      <c r="F565" s="58"/>
      <c r="G565" s="58"/>
      <c r="H565" s="58"/>
      <c r="I565" s="58"/>
      <c r="J565" s="76"/>
      <c r="K565" s="13"/>
      <c r="L565" s="5"/>
      <c r="O565" s="6"/>
      <c r="Q565" s="6"/>
    </row>
    <row r="566">
      <c r="A566" s="59"/>
      <c r="B566" s="60"/>
      <c r="C566" s="61" t="str">
        <f>IF(J563&gt;0,CONCATENATE("Total de Lucro Parceria -&gt;: ",TEXT(J563, "R$#.##0,00")),"Não houve lucro")</f>
        <v>Total de Lucro Parceria -&gt;: R$537,2000</v>
      </c>
      <c r="D566" s="62"/>
      <c r="E566" s="62"/>
      <c r="F566" s="62"/>
      <c r="G566" s="62"/>
      <c r="H566" s="62"/>
      <c r="I566" s="62"/>
      <c r="J566" s="63"/>
      <c r="K566" s="13"/>
      <c r="L566" s="5"/>
      <c r="O566" s="6"/>
      <c r="Q566" s="6"/>
    </row>
    <row r="567">
      <c r="A567" s="105" t="s">
        <v>98</v>
      </c>
      <c r="B567" s="2"/>
      <c r="C567" s="2"/>
      <c r="D567" s="2"/>
      <c r="E567" s="2"/>
      <c r="F567" s="2"/>
      <c r="G567" s="2"/>
      <c r="H567" s="2"/>
      <c r="I567" s="2"/>
      <c r="J567" s="3"/>
      <c r="K567" s="13"/>
      <c r="L567" s="5"/>
      <c r="O567" s="6"/>
      <c r="Q567" s="6"/>
    </row>
    <row r="568">
      <c r="A568" s="106" t="s">
        <v>1</v>
      </c>
      <c r="B568" s="107" t="s">
        <v>2</v>
      </c>
      <c r="C568" s="107" t="s">
        <v>3</v>
      </c>
      <c r="D568" s="108" t="s">
        <v>4</v>
      </c>
      <c r="E568" s="109" t="s">
        <v>5</v>
      </c>
      <c r="F568" s="109" t="s">
        <v>6</v>
      </c>
      <c r="G568" s="109" t="s">
        <v>7</v>
      </c>
      <c r="H568" s="109" t="s">
        <v>8</v>
      </c>
      <c r="I568" s="109" t="s">
        <v>9</v>
      </c>
      <c r="J568" s="110" t="s">
        <v>10</v>
      </c>
      <c r="K568" s="13"/>
      <c r="L568" s="5"/>
      <c r="O568" s="6"/>
      <c r="Q568" s="6"/>
    </row>
    <row r="569">
      <c r="A569" s="111"/>
      <c r="B569" s="112" t="s">
        <v>11</v>
      </c>
      <c r="C569" s="113" t="s">
        <v>22</v>
      </c>
      <c r="D569" s="114">
        <v>19.0</v>
      </c>
      <c r="E569" s="115">
        <v>2900.0</v>
      </c>
      <c r="F569" s="116">
        <f t="shared" ref="F569:F578" si="84">D569*E569</f>
        <v>55100</v>
      </c>
      <c r="G569" s="117"/>
      <c r="H569" s="117"/>
      <c r="I569" s="117"/>
      <c r="J569" s="118">
        <f t="shared" ref="J569:J578" si="85">F569+G569+H569+I569</f>
        <v>55100</v>
      </c>
      <c r="K569" s="13"/>
      <c r="L569" s="5"/>
      <c r="O569" s="6"/>
      <c r="Q569" s="6"/>
    </row>
    <row r="570">
      <c r="A570" s="111"/>
      <c r="B570" s="112" t="s">
        <v>11</v>
      </c>
      <c r="C570" s="113" t="s">
        <v>22</v>
      </c>
      <c r="D570" s="114">
        <v>1.0</v>
      </c>
      <c r="E570" s="116">
        <v>2500.0</v>
      </c>
      <c r="F570" s="116">
        <f t="shared" si="84"/>
        <v>2500</v>
      </c>
      <c r="G570" s="117"/>
      <c r="H570" s="117"/>
      <c r="I570" s="117"/>
      <c r="J570" s="118">
        <f t="shared" si="85"/>
        <v>2500</v>
      </c>
      <c r="K570" s="13"/>
      <c r="L570" s="5"/>
      <c r="O570" s="6"/>
      <c r="Q570" s="6"/>
    </row>
    <row r="571">
      <c r="A571" s="119">
        <v>46245.0</v>
      </c>
      <c r="B571" s="112" t="s">
        <v>11</v>
      </c>
      <c r="C571" s="112" t="s">
        <v>106</v>
      </c>
      <c r="D571" s="114">
        <v>6.0</v>
      </c>
      <c r="E571" s="120">
        <v>2800.0</v>
      </c>
      <c r="F571" s="116">
        <f t="shared" si="84"/>
        <v>16800</v>
      </c>
      <c r="G571" s="116">
        <f>(600/17)*D571</f>
        <v>211.7647059</v>
      </c>
      <c r="H571" s="117"/>
      <c r="I571" s="117"/>
      <c r="J571" s="118">
        <f t="shared" si="85"/>
        <v>17011.76471</v>
      </c>
      <c r="K571" s="13"/>
      <c r="L571" s="5"/>
      <c r="O571" s="6"/>
      <c r="Q571" s="6"/>
    </row>
    <row r="572">
      <c r="A572" s="119">
        <v>46245.0</v>
      </c>
      <c r="B572" s="112" t="s">
        <v>11</v>
      </c>
      <c r="C572" s="112" t="s">
        <v>107</v>
      </c>
      <c r="D572" s="114">
        <v>32.0</v>
      </c>
      <c r="E572" s="120">
        <v>3030.0</v>
      </c>
      <c r="F572" s="116">
        <f t="shared" si="84"/>
        <v>96960</v>
      </c>
      <c r="G572" s="116">
        <v>600.0</v>
      </c>
      <c r="H572" s="117"/>
      <c r="I572" s="117"/>
      <c r="J572" s="118">
        <f t="shared" si="85"/>
        <v>97560</v>
      </c>
      <c r="K572" s="13"/>
      <c r="L572" s="5"/>
      <c r="O572" s="6"/>
      <c r="Q572" s="6"/>
    </row>
    <row r="573">
      <c r="A573" s="119">
        <v>46065.0</v>
      </c>
      <c r="B573" s="112" t="s">
        <v>11</v>
      </c>
      <c r="C573" s="112" t="s">
        <v>108</v>
      </c>
      <c r="D573" s="114">
        <v>50.0</v>
      </c>
      <c r="E573" s="120">
        <v>3000.0</v>
      </c>
      <c r="F573" s="116">
        <f t="shared" si="84"/>
        <v>150000</v>
      </c>
      <c r="G573" s="116">
        <f>780+585</f>
        <v>1365</v>
      </c>
      <c r="H573" s="117"/>
      <c r="I573" s="117"/>
      <c r="J573" s="118">
        <f t="shared" si="85"/>
        <v>151365</v>
      </c>
      <c r="K573" s="13"/>
      <c r="L573" s="5"/>
      <c r="O573" s="6"/>
      <c r="Q573" s="6"/>
    </row>
    <row r="574">
      <c r="A574" s="119">
        <v>46247.0</v>
      </c>
      <c r="B574" s="112" t="s">
        <v>11</v>
      </c>
      <c r="C574" s="112" t="s">
        <v>109</v>
      </c>
      <c r="D574" s="114">
        <v>24.0</v>
      </c>
      <c r="E574" s="120">
        <v>3050.0</v>
      </c>
      <c r="F574" s="116">
        <f t="shared" si="84"/>
        <v>73200</v>
      </c>
      <c r="G574" s="116">
        <v>1200.0</v>
      </c>
      <c r="H574" s="116">
        <f>15*24</f>
        <v>360</v>
      </c>
      <c r="I574" s="117"/>
      <c r="J574" s="118">
        <f t="shared" si="85"/>
        <v>74760</v>
      </c>
      <c r="K574" s="13"/>
      <c r="L574" s="5"/>
      <c r="O574" s="6"/>
      <c r="Q574" s="6"/>
    </row>
    <row r="575">
      <c r="A575" s="119">
        <v>46247.0</v>
      </c>
      <c r="B575" s="112" t="s">
        <v>11</v>
      </c>
      <c r="C575" s="112" t="s">
        <v>110</v>
      </c>
      <c r="D575" s="114">
        <v>19.0</v>
      </c>
      <c r="E575" s="120">
        <v>3100.0</v>
      </c>
      <c r="F575" s="116">
        <f t="shared" si="84"/>
        <v>58900</v>
      </c>
      <c r="G575" s="116">
        <v>400.0</v>
      </c>
      <c r="H575" s="117"/>
      <c r="I575" s="117"/>
      <c r="J575" s="118">
        <f t="shared" si="85"/>
        <v>59300</v>
      </c>
      <c r="K575" s="13"/>
      <c r="L575" s="5"/>
      <c r="O575" s="6"/>
      <c r="Q575" s="6"/>
    </row>
    <row r="576">
      <c r="A576" s="119">
        <v>46248.0</v>
      </c>
      <c r="B576" s="112" t="s">
        <v>11</v>
      </c>
      <c r="C576" s="112" t="s">
        <v>81</v>
      </c>
      <c r="D576" s="114">
        <v>53.0</v>
      </c>
      <c r="E576" s="120">
        <f>189202.5/53</f>
        <v>3569.858491</v>
      </c>
      <c r="F576" s="116">
        <f t="shared" si="84"/>
        <v>189202.5</v>
      </c>
      <c r="G576" s="116">
        <v>1080.0</v>
      </c>
      <c r="H576" s="117"/>
      <c r="I576" s="117"/>
      <c r="J576" s="118">
        <f t="shared" si="85"/>
        <v>190282.5</v>
      </c>
      <c r="K576" s="13"/>
      <c r="L576" s="5"/>
      <c r="O576" s="6"/>
      <c r="Q576" s="6"/>
    </row>
    <row r="577">
      <c r="A577" s="119">
        <v>46248.0</v>
      </c>
      <c r="B577" s="112" t="s">
        <v>11</v>
      </c>
      <c r="C577" s="112" t="s">
        <v>110</v>
      </c>
      <c r="D577" s="114">
        <v>18.0</v>
      </c>
      <c r="E577" s="120">
        <v>3250.0</v>
      </c>
      <c r="F577" s="116">
        <f t="shared" si="84"/>
        <v>58500</v>
      </c>
      <c r="G577" s="116">
        <f>(570/33)*18</f>
        <v>310.9090909</v>
      </c>
      <c r="H577" s="117"/>
      <c r="I577" s="117"/>
      <c r="J577" s="118">
        <f t="shared" si="85"/>
        <v>58810.90909</v>
      </c>
      <c r="K577" s="13"/>
      <c r="L577" s="5"/>
      <c r="O577" s="6"/>
      <c r="Q577" s="6"/>
    </row>
    <row r="578">
      <c r="A578" s="119">
        <v>46248.0</v>
      </c>
      <c r="B578" s="112" t="s">
        <v>11</v>
      </c>
      <c r="C578" s="112" t="s">
        <v>110</v>
      </c>
      <c r="D578" s="114">
        <v>15.0</v>
      </c>
      <c r="E578" s="120">
        <v>3050.0</v>
      </c>
      <c r="F578" s="116">
        <f t="shared" si="84"/>
        <v>45750</v>
      </c>
      <c r="G578" s="116">
        <f>(570/33)*15</f>
        <v>259.0909091</v>
      </c>
      <c r="H578" s="117"/>
      <c r="I578" s="117"/>
      <c r="J578" s="118">
        <f t="shared" si="85"/>
        <v>46009.09091</v>
      </c>
      <c r="K578" s="13"/>
      <c r="L578" s="5"/>
      <c r="O578" s="6"/>
      <c r="Q578" s="6"/>
    </row>
    <row r="579">
      <c r="A579" s="111"/>
      <c r="B579" s="112"/>
      <c r="C579" s="112"/>
      <c r="D579" s="121"/>
      <c r="E579" s="122"/>
      <c r="F579" s="117"/>
      <c r="G579" s="117"/>
      <c r="H579" s="117"/>
      <c r="I579" s="117"/>
      <c r="J579" s="123"/>
      <c r="K579" s="13"/>
      <c r="L579" s="5"/>
      <c r="O579" s="6"/>
      <c r="Q579" s="6"/>
    </row>
    <row r="580">
      <c r="A580" s="124"/>
      <c r="B580" s="112"/>
      <c r="C580" s="125" t="s">
        <v>14</v>
      </c>
      <c r="D580" s="126">
        <f>SUM(D569:D579)</f>
        <v>237</v>
      </c>
      <c r="E580" s="117"/>
      <c r="F580" s="117"/>
      <c r="G580" s="117"/>
      <c r="H580" s="127" t="s">
        <v>15</v>
      </c>
      <c r="I580" s="24"/>
      <c r="J580" s="128">
        <f>SUM(J569:J579)</f>
        <v>752699.2647</v>
      </c>
      <c r="K580" s="13"/>
      <c r="L580" s="5"/>
      <c r="O580" s="6"/>
      <c r="Q580" s="6"/>
    </row>
    <row r="581">
      <c r="A581" s="124"/>
      <c r="B581" s="112"/>
      <c r="C581" s="112"/>
      <c r="D581" s="121"/>
      <c r="E581" s="117"/>
      <c r="F581" s="117"/>
      <c r="G581" s="117"/>
      <c r="H581" s="127" t="s">
        <v>16</v>
      </c>
      <c r="I581" s="24"/>
      <c r="J581" s="129">
        <f>J580/D580</f>
        <v>3175.946265</v>
      </c>
      <c r="K581" s="13"/>
      <c r="L581" s="5"/>
      <c r="O581" s="6"/>
      <c r="Q581" s="6"/>
    </row>
    <row r="582">
      <c r="A582" s="124"/>
      <c r="B582" s="112"/>
      <c r="C582" s="112"/>
      <c r="D582" s="121"/>
      <c r="E582" s="117"/>
      <c r="F582" s="117"/>
      <c r="G582" s="117"/>
      <c r="H582" s="117"/>
      <c r="I582" s="117"/>
      <c r="J582" s="123"/>
      <c r="K582" s="13"/>
      <c r="L582" s="5"/>
      <c r="O582" s="6"/>
      <c r="Q582" s="6"/>
    </row>
    <row r="583">
      <c r="A583" s="124"/>
      <c r="B583" s="112"/>
      <c r="C583" s="112"/>
      <c r="D583" s="121"/>
      <c r="E583" s="117"/>
      <c r="F583" s="117"/>
      <c r="G583" s="117"/>
      <c r="H583" s="117"/>
      <c r="I583" s="117"/>
      <c r="J583" s="123"/>
      <c r="K583" s="13"/>
      <c r="L583" s="5"/>
      <c r="O583" s="6"/>
      <c r="Q583" s="6"/>
    </row>
    <row r="584">
      <c r="A584" s="124"/>
      <c r="B584" s="112"/>
      <c r="C584" s="112"/>
      <c r="D584" s="121"/>
      <c r="E584" s="117"/>
      <c r="F584" s="130" t="str">
        <f>CONCATENATE("Temos ",D580," cabeças, custando: ",TEXT(J581, "R$#.###,##"))</f>
        <v>Temos 237 cabeças, custando: R$3.175,94626</v>
      </c>
      <c r="J584" s="29"/>
      <c r="K584" s="13"/>
      <c r="L584" s="5"/>
      <c r="O584" s="6"/>
      <c r="Q584" s="6"/>
    </row>
    <row r="585">
      <c r="A585" s="131" t="s">
        <v>1</v>
      </c>
      <c r="B585" s="132" t="s">
        <v>2</v>
      </c>
      <c r="C585" s="132" t="s">
        <v>3</v>
      </c>
      <c r="D585" s="133" t="s">
        <v>4</v>
      </c>
      <c r="E585" s="134" t="s">
        <v>5</v>
      </c>
      <c r="F585" s="134" t="s">
        <v>6</v>
      </c>
      <c r="G585" s="134" t="s">
        <v>7</v>
      </c>
      <c r="H585" s="134" t="s">
        <v>8</v>
      </c>
      <c r="I585" s="134" t="s">
        <v>17</v>
      </c>
      <c r="J585" s="135" t="s">
        <v>10</v>
      </c>
      <c r="K585" s="13"/>
      <c r="L585" s="5"/>
      <c r="O585" s="6"/>
      <c r="Q585" s="6"/>
    </row>
    <row r="586">
      <c r="A586" s="119">
        <v>46248.0</v>
      </c>
      <c r="B586" s="112" t="s">
        <v>20</v>
      </c>
      <c r="C586" s="112" t="s">
        <v>30</v>
      </c>
      <c r="D586" s="136">
        <v>80.0</v>
      </c>
      <c r="E586" s="137">
        <v>3636.5</v>
      </c>
      <c r="F586" s="116">
        <f t="shared" ref="F586:F589" si="86">D586*E586</f>
        <v>290920</v>
      </c>
      <c r="G586" s="117"/>
      <c r="H586" s="117"/>
      <c r="I586" s="138">
        <f t="shared" ref="I586:I588" si="87">D586*-4.85</f>
        <v>-388</v>
      </c>
      <c r="J586" s="118">
        <f t="shared" ref="J586:J589" si="88">F586+G586+H586+I586</f>
        <v>290532</v>
      </c>
      <c r="K586" s="13"/>
      <c r="L586" s="5"/>
      <c r="O586" s="6"/>
      <c r="Q586" s="6"/>
    </row>
    <row r="587">
      <c r="A587" s="119">
        <v>46250.0</v>
      </c>
      <c r="B587" s="112" t="s">
        <v>20</v>
      </c>
      <c r="C587" s="112" t="s">
        <v>30</v>
      </c>
      <c r="D587" s="136">
        <v>25.0</v>
      </c>
      <c r="E587" s="137">
        <v>3200.0</v>
      </c>
      <c r="F587" s="116">
        <f t="shared" si="86"/>
        <v>80000</v>
      </c>
      <c r="G587" s="117"/>
      <c r="H587" s="117"/>
      <c r="I587" s="138">
        <f t="shared" si="87"/>
        <v>-121.25</v>
      </c>
      <c r="J587" s="118">
        <f t="shared" si="88"/>
        <v>79878.75</v>
      </c>
      <c r="K587" s="13"/>
      <c r="L587" s="5"/>
      <c r="O587" s="6"/>
      <c r="Q587" s="6"/>
    </row>
    <row r="588">
      <c r="A588" s="119">
        <v>46250.0</v>
      </c>
      <c r="B588" s="112" t="s">
        <v>20</v>
      </c>
      <c r="C588" s="112" t="s">
        <v>30</v>
      </c>
      <c r="D588" s="136">
        <f>123-17</f>
        <v>106</v>
      </c>
      <c r="E588" s="137">
        <v>3100.0</v>
      </c>
      <c r="F588" s="116">
        <f t="shared" si="86"/>
        <v>328600</v>
      </c>
      <c r="G588" s="117"/>
      <c r="H588" s="117"/>
      <c r="I588" s="138">
        <f t="shared" si="87"/>
        <v>-514.1</v>
      </c>
      <c r="J588" s="118">
        <f t="shared" si="88"/>
        <v>328085.9</v>
      </c>
      <c r="K588" s="13"/>
      <c r="L588" s="5"/>
      <c r="O588" s="6"/>
      <c r="Q588" s="6"/>
    </row>
    <row r="589">
      <c r="A589" s="111"/>
      <c r="B589" s="112"/>
      <c r="C589" s="112" t="s">
        <v>22</v>
      </c>
      <c r="D589" s="114">
        <v>26.0</v>
      </c>
      <c r="E589" s="116">
        <v>2900.0</v>
      </c>
      <c r="F589" s="116">
        <f t="shared" si="86"/>
        <v>75400</v>
      </c>
      <c r="G589" s="117"/>
      <c r="H589" s="117"/>
      <c r="I589" s="117"/>
      <c r="J589" s="118">
        <f t="shared" si="88"/>
        <v>75400</v>
      </c>
      <c r="K589" s="13"/>
      <c r="L589" s="5"/>
      <c r="O589" s="6"/>
      <c r="Q589" s="6"/>
    </row>
    <row r="590">
      <c r="A590" s="111"/>
      <c r="B590" s="112"/>
      <c r="C590" s="112"/>
      <c r="D590" s="121"/>
      <c r="E590" s="117"/>
      <c r="F590" s="117"/>
      <c r="G590" s="117"/>
      <c r="H590" s="117"/>
      <c r="I590" s="117"/>
      <c r="J590" s="123"/>
      <c r="K590" s="13"/>
      <c r="L590" s="5"/>
      <c r="O590" s="6"/>
      <c r="Q590" s="6"/>
    </row>
    <row r="591">
      <c r="A591" s="124"/>
      <c r="B591" s="112"/>
      <c r="C591" s="139" t="s">
        <v>14</v>
      </c>
      <c r="D591" s="126">
        <f>SUM(D586:D590)</f>
        <v>237</v>
      </c>
      <c r="E591" s="117"/>
      <c r="F591" s="117"/>
      <c r="G591" s="117"/>
      <c r="H591" s="140" t="s">
        <v>10</v>
      </c>
      <c r="I591" s="24"/>
      <c r="J591" s="128">
        <f>SUM(J586:J590)</f>
        <v>773896.65</v>
      </c>
      <c r="K591" s="13"/>
      <c r="L591" s="5"/>
      <c r="O591" s="6"/>
      <c r="Q591" s="6"/>
    </row>
    <row r="592">
      <c r="A592" s="124"/>
      <c r="B592" s="112"/>
      <c r="C592" s="112"/>
      <c r="D592" s="121"/>
      <c r="E592" s="117"/>
      <c r="F592" s="117"/>
      <c r="G592" s="117"/>
      <c r="H592" s="140" t="s">
        <v>16</v>
      </c>
      <c r="I592" s="24"/>
      <c r="J592" s="129">
        <f>J591/D591</f>
        <v>3265.386709</v>
      </c>
      <c r="K592" s="13"/>
      <c r="L592" s="5"/>
      <c r="O592" s="6"/>
      <c r="Q592" s="6"/>
    </row>
    <row r="593">
      <c r="A593" s="124"/>
      <c r="B593" s="112"/>
      <c r="C593" s="112"/>
      <c r="D593" s="121"/>
      <c r="E593" s="117"/>
      <c r="F593" s="117"/>
      <c r="G593" s="117"/>
      <c r="H593" s="117"/>
      <c r="I593" s="117"/>
      <c r="J593" s="123"/>
      <c r="K593" s="13"/>
      <c r="L593" s="5"/>
      <c r="O593" s="6"/>
      <c r="Q593" s="6"/>
    </row>
    <row r="594">
      <c r="A594" s="124"/>
      <c r="B594" s="112"/>
      <c r="C594" s="112"/>
      <c r="D594" s="121"/>
      <c r="E594" s="117"/>
      <c r="F594" s="117"/>
      <c r="G594" s="117"/>
      <c r="H594" s="140" t="s">
        <v>23</v>
      </c>
      <c r="I594" s="24"/>
      <c r="J594" s="128">
        <f>J591-J580</f>
        <v>21197.38529</v>
      </c>
      <c r="K594" s="13"/>
      <c r="L594" s="5"/>
      <c r="O594" s="6"/>
      <c r="Q594" s="6"/>
    </row>
    <row r="595">
      <c r="A595" s="124"/>
      <c r="B595" s="112"/>
      <c r="C595" s="112"/>
      <c r="D595" s="121"/>
      <c r="E595" s="117"/>
      <c r="F595" s="117"/>
      <c r="G595" s="117"/>
      <c r="H595" s="117"/>
      <c r="I595" s="117"/>
      <c r="J595" s="123"/>
      <c r="K595" s="13"/>
      <c r="L595" s="5"/>
      <c r="O595" s="6"/>
      <c r="Q595" s="6"/>
    </row>
    <row r="596">
      <c r="A596" s="124"/>
      <c r="B596" s="112"/>
      <c r="C596" s="141" t="s">
        <v>22</v>
      </c>
      <c r="D596" s="114">
        <f>D580-D591</f>
        <v>0</v>
      </c>
      <c r="E596" s="117"/>
      <c r="F596" s="117"/>
      <c r="G596" s="117"/>
      <c r="H596" s="142" t="s">
        <v>24</v>
      </c>
      <c r="I596" s="24"/>
      <c r="J596" s="143" t="str">
        <f>J594/D596</f>
        <v>#DIV/0!</v>
      </c>
      <c r="K596" s="13"/>
      <c r="L596" s="5"/>
      <c r="O596" s="6"/>
      <c r="Q596" s="6"/>
    </row>
    <row r="597">
      <c r="A597" s="124"/>
      <c r="B597" s="112"/>
      <c r="C597" s="112"/>
      <c r="D597" s="121"/>
      <c r="E597" s="117"/>
      <c r="F597" s="117"/>
      <c r="G597" s="117"/>
      <c r="H597" s="144" t="s">
        <v>25</v>
      </c>
      <c r="I597" s="24"/>
      <c r="J597" s="118">
        <f>J594/D591</f>
        <v>89.44044428</v>
      </c>
      <c r="K597" s="13"/>
      <c r="L597" s="5"/>
      <c r="O597" s="6"/>
      <c r="Q597" s="6"/>
    </row>
    <row r="598">
      <c r="A598" s="124"/>
      <c r="B598" s="112"/>
      <c r="C598" s="112"/>
      <c r="D598" s="121"/>
      <c r="E598" s="117"/>
      <c r="F598" s="117"/>
      <c r="G598" s="117"/>
      <c r="H598" s="112"/>
      <c r="I598" s="112"/>
      <c r="J598" s="123"/>
      <c r="K598" s="13"/>
      <c r="L598" s="5"/>
      <c r="O598" s="6"/>
      <c r="Q598" s="6"/>
    </row>
    <row r="599">
      <c r="A599" s="124"/>
      <c r="B599" s="112"/>
      <c r="C599" s="112"/>
      <c r="D599" s="121"/>
      <c r="E599" s="117"/>
      <c r="F599" s="145"/>
      <c r="G599" s="66"/>
      <c r="H599" s="66"/>
      <c r="I599" s="67"/>
      <c r="J599" s="146"/>
      <c r="K599" s="13"/>
      <c r="L599" s="5"/>
      <c r="O599" s="6"/>
      <c r="Q599" s="6"/>
    </row>
    <row r="600">
      <c r="A600" s="124"/>
      <c r="B600" s="112"/>
      <c r="C600" s="112"/>
      <c r="D600" s="121"/>
      <c r="E600" s="117"/>
      <c r="F600" s="147"/>
      <c r="G600" s="66"/>
      <c r="H600" s="66"/>
      <c r="I600" s="67"/>
      <c r="J600" s="146"/>
      <c r="K600" s="13"/>
      <c r="L600" s="5"/>
      <c r="O600" s="6"/>
      <c r="Q600" s="6"/>
    </row>
    <row r="601">
      <c r="A601" s="124"/>
      <c r="B601" s="112"/>
      <c r="C601" s="112"/>
      <c r="D601" s="121"/>
      <c r="E601" s="117"/>
      <c r="F601" s="148"/>
      <c r="G601" s="148"/>
      <c r="H601" s="140" t="s">
        <v>36</v>
      </c>
      <c r="I601" s="24"/>
      <c r="J601" s="128">
        <f>J594+J599+J600</f>
        <v>21197.38529</v>
      </c>
      <c r="K601" s="13"/>
      <c r="L601" s="5"/>
      <c r="O601" s="6"/>
      <c r="Q601" s="6"/>
    </row>
    <row r="602">
      <c r="A602" s="124"/>
      <c r="B602" s="112"/>
      <c r="C602" s="149" t="str">
        <f>IFERROR("Não sobrou",CONCATENATE("Parceria Mauro -&gt; Sobrou ",#REF!," cabeças, custando: ",TEXT(#REF!, "R$#,##")))</f>
        <v>Não sobrou</v>
      </c>
      <c r="J602" s="29"/>
      <c r="K602" s="13"/>
      <c r="L602" s="5"/>
      <c r="O602" s="6"/>
      <c r="Q602" s="6"/>
    </row>
    <row r="603">
      <c r="A603" s="124"/>
      <c r="B603" s="112"/>
      <c r="C603" s="112"/>
      <c r="D603" s="112"/>
      <c r="E603" s="112"/>
      <c r="F603" s="112"/>
      <c r="G603" s="112"/>
      <c r="H603" s="112"/>
      <c r="I603" s="112"/>
      <c r="J603" s="150"/>
      <c r="K603" s="13"/>
      <c r="L603" s="5"/>
      <c r="O603" s="6"/>
      <c r="Q603" s="6"/>
    </row>
    <row r="604">
      <c r="A604" s="151"/>
      <c r="B604" s="152"/>
      <c r="C604" s="153" t="str">
        <f>IF(J601&gt;0,CONCATENATE("Total de Lucro Parceria -&gt;: ",TEXT(J601, "R$#.##0,00")),"Não houve lucro")</f>
        <v>Total de Lucro Parceria -&gt;: R$21.197,38529</v>
      </c>
      <c r="D604" s="62"/>
      <c r="E604" s="62"/>
      <c r="F604" s="62"/>
      <c r="G604" s="62"/>
      <c r="H604" s="62"/>
      <c r="I604" s="62"/>
      <c r="J604" s="63"/>
      <c r="K604" s="13"/>
      <c r="L604" s="5"/>
      <c r="O604" s="6"/>
      <c r="Q604" s="6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3"/>
      <c r="L605" s="5"/>
      <c r="O605" s="6"/>
      <c r="Q605" s="6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3"/>
      <c r="L606" s="5"/>
      <c r="O606" s="6"/>
      <c r="Q606" s="6"/>
    </row>
    <row r="607">
      <c r="A607" s="105" t="s">
        <v>111</v>
      </c>
      <c r="B607" s="2"/>
      <c r="C607" s="2"/>
      <c r="D607" s="2"/>
      <c r="E607" s="2"/>
      <c r="F607" s="2"/>
      <c r="G607" s="2"/>
      <c r="H607" s="2"/>
      <c r="I607" s="2"/>
      <c r="J607" s="3"/>
      <c r="K607" s="13"/>
      <c r="L607" s="5"/>
      <c r="O607" s="6"/>
      <c r="Q607" s="6"/>
    </row>
    <row r="608">
      <c r="A608" s="106" t="s">
        <v>1</v>
      </c>
      <c r="B608" s="107" t="s">
        <v>2</v>
      </c>
      <c r="C608" s="107" t="s">
        <v>3</v>
      </c>
      <c r="D608" s="108" t="s">
        <v>4</v>
      </c>
      <c r="E608" s="109" t="s">
        <v>5</v>
      </c>
      <c r="F608" s="109" t="s">
        <v>6</v>
      </c>
      <c r="G608" s="109" t="s">
        <v>7</v>
      </c>
      <c r="H608" s="109" t="s">
        <v>8</v>
      </c>
      <c r="I608" s="109" t="s">
        <v>9</v>
      </c>
      <c r="J608" s="110" t="s">
        <v>10</v>
      </c>
      <c r="K608" s="13"/>
      <c r="L608" s="5"/>
      <c r="O608" s="6"/>
      <c r="Q608" s="6"/>
    </row>
    <row r="609">
      <c r="A609" s="119">
        <v>46245.0</v>
      </c>
      <c r="B609" s="112" t="s">
        <v>20</v>
      </c>
      <c r="C609" s="112" t="s">
        <v>106</v>
      </c>
      <c r="D609" s="114">
        <v>11.0</v>
      </c>
      <c r="E609" s="120">
        <v>2100.0</v>
      </c>
      <c r="F609" s="116">
        <f t="shared" ref="F609:F610" si="89">D609*E609</f>
        <v>23100</v>
      </c>
      <c r="G609" s="116">
        <f>(600/17)*D609</f>
        <v>388.2352941</v>
      </c>
      <c r="H609" s="117"/>
      <c r="I609" s="117"/>
      <c r="J609" s="118">
        <f t="shared" ref="J609:J610" si="90">F609+G609+H609+I609</f>
        <v>23488.23529</v>
      </c>
      <c r="K609" s="13"/>
      <c r="L609" s="5"/>
      <c r="O609" s="6"/>
      <c r="Q609" s="6"/>
    </row>
    <row r="610">
      <c r="A610" s="119">
        <v>46245.0</v>
      </c>
      <c r="B610" s="112" t="s">
        <v>20</v>
      </c>
      <c r="C610" s="112" t="s">
        <v>107</v>
      </c>
      <c r="D610" s="114">
        <v>21.0</v>
      </c>
      <c r="E610" s="120">
        <v>2200.0</v>
      </c>
      <c r="F610" s="116">
        <f t="shared" si="89"/>
        <v>46200</v>
      </c>
      <c r="G610" s="117"/>
      <c r="H610" s="117"/>
      <c r="I610" s="117"/>
      <c r="J610" s="118">
        <f t="shared" si="90"/>
        <v>46200</v>
      </c>
      <c r="K610" s="13"/>
      <c r="L610" s="5"/>
      <c r="O610" s="6"/>
      <c r="Q610" s="6"/>
    </row>
    <row r="611">
      <c r="A611" s="111"/>
      <c r="B611" s="112"/>
      <c r="C611" s="112"/>
      <c r="D611" s="121"/>
      <c r="E611" s="122"/>
      <c r="F611" s="117"/>
      <c r="G611" s="117"/>
      <c r="H611" s="117"/>
      <c r="I611" s="117"/>
      <c r="J611" s="123"/>
      <c r="K611" s="13"/>
      <c r="L611" s="5"/>
      <c r="O611" s="6"/>
      <c r="Q611" s="6"/>
    </row>
    <row r="612">
      <c r="A612" s="111"/>
      <c r="B612" s="112"/>
      <c r="C612" s="112"/>
      <c r="D612" s="121"/>
      <c r="E612" s="122"/>
      <c r="F612" s="117"/>
      <c r="G612" s="117"/>
      <c r="H612" s="117"/>
      <c r="I612" s="117"/>
      <c r="J612" s="123"/>
      <c r="K612" s="13"/>
      <c r="L612" s="5"/>
      <c r="O612" s="6"/>
      <c r="Q612" s="6"/>
    </row>
    <row r="613">
      <c r="A613" s="111"/>
      <c r="B613" s="112"/>
      <c r="C613" s="112"/>
      <c r="D613" s="121"/>
      <c r="E613" s="122"/>
      <c r="F613" s="117"/>
      <c r="G613" s="117"/>
      <c r="H613" s="117"/>
      <c r="I613" s="117"/>
      <c r="J613" s="123"/>
      <c r="K613" s="13"/>
      <c r="L613" s="5"/>
      <c r="O613" s="6"/>
      <c r="Q613" s="6"/>
    </row>
    <row r="614">
      <c r="A614" s="124"/>
      <c r="B614" s="112"/>
      <c r="C614" s="125" t="s">
        <v>14</v>
      </c>
      <c r="D614" s="126">
        <f>SUM(D609:D613)</f>
        <v>32</v>
      </c>
      <c r="E614" s="117"/>
      <c r="F614" s="117"/>
      <c r="G614" s="117"/>
      <c r="H614" s="127" t="s">
        <v>15</v>
      </c>
      <c r="I614" s="24"/>
      <c r="J614" s="128">
        <f>SUM(J609:J613)</f>
        <v>69688.23529</v>
      </c>
      <c r="K614" s="13"/>
      <c r="L614" s="5"/>
      <c r="O614" s="6"/>
      <c r="Q614" s="6"/>
    </row>
    <row r="615">
      <c r="A615" s="124"/>
      <c r="B615" s="112"/>
      <c r="C615" s="112"/>
      <c r="D615" s="121"/>
      <c r="E615" s="117"/>
      <c r="F615" s="117"/>
      <c r="G615" s="117"/>
      <c r="H615" s="127" t="s">
        <v>16</v>
      </c>
      <c r="I615" s="24"/>
      <c r="J615" s="129">
        <f>J614/D614</f>
        <v>2177.757353</v>
      </c>
      <c r="K615" s="13"/>
      <c r="L615" s="5"/>
      <c r="O615" s="6"/>
      <c r="Q615" s="6"/>
    </row>
    <row r="616">
      <c r="A616" s="124"/>
      <c r="B616" s="112"/>
      <c r="C616" s="112"/>
      <c r="D616" s="121"/>
      <c r="E616" s="117"/>
      <c r="F616" s="117"/>
      <c r="G616" s="117"/>
      <c r="H616" s="117"/>
      <c r="I616" s="117"/>
      <c r="J616" s="123"/>
      <c r="K616" s="13"/>
      <c r="L616" s="5"/>
      <c r="O616" s="6"/>
      <c r="Q616" s="6"/>
    </row>
    <row r="617">
      <c r="A617" s="124"/>
      <c r="B617" s="112"/>
      <c r="C617" s="112"/>
      <c r="D617" s="121"/>
      <c r="E617" s="117"/>
      <c r="F617" s="117"/>
      <c r="G617" s="117"/>
      <c r="H617" s="117"/>
      <c r="I617" s="117"/>
      <c r="J617" s="123"/>
      <c r="K617" s="13"/>
      <c r="L617" s="5"/>
      <c r="O617" s="6"/>
      <c r="Q617" s="6"/>
    </row>
    <row r="618">
      <c r="A618" s="124"/>
      <c r="B618" s="112"/>
      <c r="C618" s="112"/>
      <c r="D618" s="121"/>
      <c r="E618" s="117"/>
      <c r="F618" s="117"/>
      <c r="G618" s="117"/>
      <c r="H618" s="130" t="str">
        <f>CONCATENATE("Temos ",D614," cabeças, custando: ",TEXT(J615, "R$#.###,##"))</f>
        <v>Temos 32 cabeças, custando: R$2.177,75735</v>
      </c>
      <c r="J618" s="29"/>
      <c r="K618" s="13"/>
      <c r="L618" s="5"/>
      <c r="O618" s="6"/>
      <c r="Q618" s="6"/>
    </row>
    <row r="619">
      <c r="A619" s="131" t="s">
        <v>1</v>
      </c>
      <c r="B619" s="132" t="s">
        <v>2</v>
      </c>
      <c r="C619" s="132" t="s">
        <v>3</v>
      </c>
      <c r="D619" s="133" t="s">
        <v>4</v>
      </c>
      <c r="E619" s="134" t="s">
        <v>5</v>
      </c>
      <c r="F619" s="134" t="s">
        <v>6</v>
      </c>
      <c r="G619" s="134" t="s">
        <v>7</v>
      </c>
      <c r="H619" s="134" t="s">
        <v>8</v>
      </c>
      <c r="I619" s="134" t="s">
        <v>17</v>
      </c>
      <c r="J619" s="135" t="s">
        <v>10</v>
      </c>
      <c r="K619" s="13"/>
      <c r="L619" s="5"/>
      <c r="O619" s="6"/>
      <c r="Q619" s="6"/>
    </row>
    <row r="620">
      <c r="A620" s="119">
        <v>46246.0</v>
      </c>
      <c r="B620" s="112" t="s">
        <v>20</v>
      </c>
      <c r="C620" s="112" t="s">
        <v>112</v>
      </c>
      <c r="D620" s="136">
        <v>32.0</v>
      </c>
      <c r="E620" s="137">
        <v>2350.0</v>
      </c>
      <c r="F620" s="116">
        <f t="shared" ref="F620:F622" si="91">D620*E620</f>
        <v>75200</v>
      </c>
      <c r="G620" s="117"/>
      <c r="H620" s="117"/>
      <c r="I620" s="138">
        <f t="shared" ref="I620:I621" si="92">D620*-4.85</f>
        <v>-155.2</v>
      </c>
      <c r="J620" s="118">
        <f t="shared" ref="J620:J622" si="93">F620+G620+H620+I620</f>
        <v>75044.8</v>
      </c>
      <c r="K620" s="13"/>
      <c r="L620" s="5"/>
      <c r="O620" s="6"/>
      <c r="Q620" s="6"/>
    </row>
    <row r="621">
      <c r="A621" s="111"/>
      <c r="B621" s="112"/>
      <c r="C621" s="112"/>
      <c r="D621" s="121"/>
      <c r="E621" s="117"/>
      <c r="F621" s="116">
        <f t="shared" si="91"/>
        <v>0</v>
      </c>
      <c r="G621" s="117"/>
      <c r="H621" s="117"/>
      <c r="I621" s="138">
        <f t="shared" si="92"/>
        <v>0</v>
      </c>
      <c r="J621" s="118">
        <f t="shared" si="93"/>
        <v>0</v>
      </c>
      <c r="K621" s="13"/>
      <c r="L621" s="5"/>
      <c r="O621" s="6"/>
      <c r="Q621" s="6"/>
    </row>
    <row r="622">
      <c r="A622" s="111"/>
      <c r="B622" s="112"/>
      <c r="C622" s="112"/>
      <c r="D622" s="121"/>
      <c r="E622" s="117"/>
      <c r="F622" s="116">
        <f t="shared" si="91"/>
        <v>0</v>
      </c>
      <c r="G622" s="117"/>
      <c r="H622" s="117"/>
      <c r="I622" s="117"/>
      <c r="J622" s="118">
        <f t="shared" si="93"/>
        <v>0</v>
      </c>
      <c r="K622" s="13"/>
      <c r="L622" s="5"/>
      <c r="O622" s="6"/>
      <c r="Q622" s="6"/>
    </row>
    <row r="623">
      <c r="A623" s="111"/>
      <c r="B623" s="112"/>
      <c r="C623" s="112"/>
      <c r="D623" s="121"/>
      <c r="E623" s="117"/>
      <c r="F623" s="117"/>
      <c r="G623" s="117"/>
      <c r="H623" s="117"/>
      <c r="I623" s="117"/>
      <c r="J623" s="123"/>
      <c r="K623" s="13"/>
      <c r="L623" s="5"/>
      <c r="O623" s="6"/>
      <c r="Q623" s="6"/>
    </row>
    <row r="624">
      <c r="A624" s="124"/>
      <c r="B624" s="112"/>
      <c r="C624" s="139" t="s">
        <v>14</v>
      </c>
      <c r="D624" s="126">
        <f>SUM(D621:D623)</f>
        <v>0</v>
      </c>
      <c r="E624" s="117"/>
      <c r="F624" s="117"/>
      <c r="G624" s="117"/>
      <c r="H624" s="140" t="s">
        <v>10</v>
      </c>
      <c r="I624" s="24"/>
      <c r="J624" s="128">
        <f>SUM(J620:J623)</f>
        <v>75044.8</v>
      </c>
      <c r="K624" s="13"/>
      <c r="L624" s="5"/>
      <c r="O624" s="6"/>
      <c r="Q624" s="6"/>
    </row>
    <row r="625">
      <c r="A625" s="124"/>
      <c r="B625" s="112"/>
      <c r="C625" s="112"/>
      <c r="D625" s="121"/>
      <c r="E625" s="117"/>
      <c r="F625" s="117"/>
      <c r="G625" s="117"/>
      <c r="H625" s="140" t="s">
        <v>16</v>
      </c>
      <c r="I625" s="24"/>
      <c r="J625" s="154" t="str">
        <f>J624/D624</f>
        <v>#DIV/0!</v>
      </c>
      <c r="K625" s="13"/>
      <c r="L625" s="5"/>
      <c r="O625" s="6"/>
      <c r="Q625" s="6"/>
    </row>
    <row r="626">
      <c r="A626" s="124"/>
      <c r="B626" s="112"/>
      <c r="C626" s="112"/>
      <c r="D626" s="121"/>
      <c r="E626" s="117"/>
      <c r="F626" s="117"/>
      <c r="G626" s="117"/>
      <c r="H626" s="117"/>
      <c r="I626" s="117"/>
      <c r="J626" s="123"/>
      <c r="K626" s="13"/>
      <c r="L626" s="5"/>
      <c r="O626" s="6"/>
      <c r="Q626" s="6"/>
    </row>
    <row r="627">
      <c r="A627" s="124"/>
      <c r="B627" s="112"/>
      <c r="C627" s="112"/>
      <c r="D627" s="121"/>
      <c r="E627" s="117"/>
      <c r="F627" s="117"/>
      <c r="G627" s="117"/>
      <c r="H627" s="140" t="s">
        <v>23</v>
      </c>
      <c r="I627" s="24"/>
      <c r="J627" s="128">
        <f>J624-J614</f>
        <v>5356.564706</v>
      </c>
      <c r="K627" s="13"/>
      <c r="L627" s="5"/>
      <c r="O627" s="6"/>
      <c r="Q627" s="6"/>
    </row>
    <row r="628">
      <c r="A628" s="124"/>
      <c r="B628" s="112"/>
      <c r="C628" s="112"/>
      <c r="D628" s="121"/>
      <c r="E628" s="117"/>
      <c r="F628" s="117"/>
      <c r="G628" s="117"/>
      <c r="H628" s="117"/>
      <c r="I628" s="117"/>
      <c r="J628" s="123"/>
      <c r="K628" s="13"/>
      <c r="L628" s="5"/>
      <c r="O628" s="6"/>
      <c r="Q628" s="6"/>
    </row>
    <row r="629">
      <c r="A629" s="124"/>
      <c r="B629" s="112"/>
      <c r="C629" s="141" t="s">
        <v>22</v>
      </c>
      <c r="D629" s="114">
        <f>D614-D624</f>
        <v>32</v>
      </c>
      <c r="E629" s="117"/>
      <c r="F629" s="117"/>
      <c r="G629" s="117"/>
      <c r="H629" s="142" t="s">
        <v>24</v>
      </c>
      <c r="I629" s="24"/>
      <c r="J629" s="118">
        <f>J627/D629</f>
        <v>167.3926471</v>
      </c>
      <c r="K629" s="13"/>
      <c r="L629" s="5"/>
      <c r="O629" s="6"/>
      <c r="Q629" s="6"/>
    </row>
    <row r="630">
      <c r="A630" s="124"/>
      <c r="B630" s="112"/>
      <c r="C630" s="112"/>
      <c r="D630" s="121"/>
      <c r="E630" s="117"/>
      <c r="F630" s="117"/>
      <c r="G630" s="117"/>
      <c r="H630" s="144" t="s">
        <v>25</v>
      </c>
      <c r="I630" s="24"/>
      <c r="J630" s="143" t="str">
        <f>J627/D624</f>
        <v>#DIV/0!</v>
      </c>
      <c r="K630" s="13"/>
      <c r="L630" s="5"/>
      <c r="O630" s="6"/>
      <c r="Q630" s="6"/>
    </row>
    <row r="631">
      <c r="A631" s="124"/>
      <c r="B631" s="112"/>
      <c r="C631" s="112"/>
      <c r="D631" s="121"/>
      <c r="E631" s="117"/>
      <c r="F631" s="117"/>
      <c r="G631" s="117"/>
      <c r="H631" s="112"/>
      <c r="I631" s="112"/>
      <c r="J631" s="123"/>
      <c r="K631" s="13"/>
      <c r="L631" s="5"/>
      <c r="O631" s="6"/>
      <c r="Q631" s="6"/>
    </row>
    <row r="632">
      <c r="A632" s="124"/>
      <c r="B632" s="112"/>
      <c r="C632" s="112"/>
      <c r="D632" s="121"/>
      <c r="E632" s="117"/>
      <c r="F632" s="155" t="s">
        <v>113</v>
      </c>
      <c r="G632" s="66"/>
      <c r="H632" s="66"/>
      <c r="I632" s="67"/>
      <c r="J632" s="156">
        <v>-53.35</v>
      </c>
      <c r="K632" s="13"/>
      <c r="L632" s="5"/>
      <c r="O632" s="6"/>
      <c r="Q632" s="6"/>
    </row>
    <row r="633">
      <c r="A633" s="124"/>
      <c r="B633" s="112"/>
      <c r="C633" s="112"/>
      <c r="D633" s="121"/>
      <c r="E633" s="117"/>
      <c r="F633" s="147"/>
      <c r="G633" s="66"/>
      <c r="H633" s="66"/>
      <c r="I633" s="67"/>
      <c r="J633" s="146"/>
      <c r="K633" s="13"/>
      <c r="L633" s="5"/>
      <c r="O633" s="6"/>
      <c r="Q633" s="6"/>
    </row>
    <row r="634">
      <c r="A634" s="124"/>
      <c r="B634" s="112"/>
      <c r="C634" s="112"/>
      <c r="D634" s="121"/>
      <c r="E634" s="117"/>
      <c r="F634" s="148"/>
      <c r="G634" s="148"/>
      <c r="H634" s="140" t="s">
        <v>36</v>
      </c>
      <c r="I634" s="24"/>
      <c r="J634" s="128">
        <f>J627+J632+J633</f>
        <v>5303.214706</v>
      </c>
      <c r="K634" s="13"/>
      <c r="L634" s="5"/>
      <c r="O634" s="6"/>
      <c r="Q634" s="6"/>
    </row>
    <row r="635">
      <c r="A635" s="124"/>
      <c r="B635" s="112"/>
      <c r="C635" s="149" t="str">
        <f>IFERROR("Não sobrou",CONCATENATE("Parceria Mauro -&gt; Sobrou ",#REF!," cabeças, custando: ",TEXT(#REF!, "R$#,##")))</f>
        <v>Não sobrou</v>
      </c>
      <c r="J635" s="29"/>
      <c r="K635" s="13"/>
      <c r="L635" s="5"/>
      <c r="O635" s="6"/>
      <c r="Q635" s="6"/>
    </row>
    <row r="636">
      <c r="A636" s="124"/>
      <c r="B636" s="112"/>
      <c r="C636" s="112"/>
      <c r="D636" s="112"/>
      <c r="E636" s="112"/>
      <c r="F636" s="112"/>
      <c r="G636" s="112"/>
      <c r="H636" s="112"/>
      <c r="I636" s="112"/>
      <c r="J636" s="150"/>
      <c r="K636" s="13"/>
      <c r="L636" s="5"/>
      <c r="O636" s="6"/>
      <c r="Q636" s="6"/>
    </row>
    <row r="637">
      <c r="A637" s="151"/>
      <c r="B637" s="152"/>
      <c r="C637" s="153" t="str">
        <f>IF(J634&gt;0,CONCATENATE("Total de Lucro Parceria -&gt;: ",TEXT(J634, "R$#.##0,00")),"Não houve lucro")</f>
        <v>Total de Lucro Parceria -&gt;: R$5.303,21471</v>
      </c>
      <c r="D637" s="62"/>
      <c r="E637" s="62"/>
      <c r="F637" s="62"/>
      <c r="G637" s="62"/>
      <c r="H637" s="62"/>
      <c r="I637" s="62"/>
      <c r="J637" s="63"/>
      <c r="K637" s="13"/>
      <c r="L637" s="5"/>
      <c r="O637" s="6"/>
      <c r="Q637" s="6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3"/>
      <c r="L638" s="5"/>
      <c r="O638" s="6"/>
      <c r="Q638" s="6"/>
    </row>
    <row r="639">
      <c r="A639" s="105" t="s">
        <v>114</v>
      </c>
      <c r="B639" s="2"/>
      <c r="C639" s="2"/>
      <c r="D639" s="2"/>
      <c r="E639" s="2"/>
      <c r="F639" s="2"/>
      <c r="G639" s="2"/>
      <c r="H639" s="2"/>
      <c r="I639" s="2"/>
      <c r="J639" s="3"/>
      <c r="K639" s="13"/>
      <c r="L639" s="5"/>
      <c r="O639" s="6"/>
      <c r="Q639" s="6"/>
    </row>
    <row r="640">
      <c r="A640" s="106" t="s">
        <v>1</v>
      </c>
      <c r="B640" s="107" t="s">
        <v>2</v>
      </c>
      <c r="C640" s="107" t="s">
        <v>3</v>
      </c>
      <c r="D640" s="108" t="s">
        <v>4</v>
      </c>
      <c r="E640" s="109" t="s">
        <v>5</v>
      </c>
      <c r="F640" s="109" t="s">
        <v>6</v>
      </c>
      <c r="G640" s="109" t="s">
        <v>7</v>
      </c>
      <c r="H640" s="109" t="s">
        <v>8</v>
      </c>
      <c r="I640" s="109" t="s">
        <v>9</v>
      </c>
      <c r="J640" s="110" t="s">
        <v>10</v>
      </c>
      <c r="K640" s="13"/>
      <c r="L640" s="5"/>
      <c r="O640" s="6"/>
      <c r="Q640" s="6"/>
    </row>
    <row r="641">
      <c r="A641" s="111"/>
      <c r="B641" s="112" t="s">
        <v>11</v>
      </c>
      <c r="C641" s="113" t="s">
        <v>22</v>
      </c>
      <c r="D641" s="114">
        <v>26.0</v>
      </c>
      <c r="E641" s="115">
        <v>2900.0</v>
      </c>
      <c r="F641" s="116">
        <f t="shared" ref="F641:F653" si="94">D641*E641</f>
        <v>75400</v>
      </c>
      <c r="G641" s="117"/>
      <c r="H641" s="117"/>
      <c r="I641" s="117"/>
      <c r="J641" s="118">
        <f t="shared" ref="J641:J653" si="95">F641+G641+H641+I641</f>
        <v>75400</v>
      </c>
      <c r="K641" s="13"/>
      <c r="L641" s="5"/>
      <c r="O641" s="6"/>
      <c r="Q641" s="6"/>
    </row>
    <row r="642">
      <c r="A642" s="119">
        <v>46250.0</v>
      </c>
      <c r="B642" s="112" t="s">
        <v>11</v>
      </c>
      <c r="C642" s="113" t="s">
        <v>115</v>
      </c>
      <c r="D642" s="114">
        <v>3.0</v>
      </c>
      <c r="E642" s="116">
        <v>2800.0</v>
      </c>
      <c r="F642" s="116">
        <f t="shared" si="94"/>
        <v>8400</v>
      </c>
      <c r="G642" s="116">
        <f t="shared" ref="G642:G643" si="96">(1050/23)*D642</f>
        <v>136.9565217</v>
      </c>
      <c r="H642" s="117"/>
      <c r="I642" s="117"/>
      <c r="J642" s="118">
        <f t="shared" si="95"/>
        <v>8536.956522</v>
      </c>
      <c r="K642" s="13"/>
      <c r="L642" s="5"/>
      <c r="O642" s="6"/>
      <c r="Q642" s="6"/>
    </row>
    <row r="643">
      <c r="A643" s="119">
        <v>46250.0</v>
      </c>
      <c r="B643" s="112" t="s">
        <v>11</v>
      </c>
      <c r="C643" s="113" t="s">
        <v>115</v>
      </c>
      <c r="D643" s="114">
        <v>13.0</v>
      </c>
      <c r="E643" s="120">
        <v>2900.0</v>
      </c>
      <c r="F643" s="116">
        <f t="shared" si="94"/>
        <v>37700</v>
      </c>
      <c r="G643" s="116">
        <f t="shared" si="96"/>
        <v>593.4782609</v>
      </c>
      <c r="H643" s="117"/>
      <c r="I643" s="117"/>
      <c r="J643" s="118">
        <f t="shared" si="95"/>
        <v>38293.47826</v>
      </c>
      <c r="K643" s="13"/>
      <c r="L643" s="5"/>
      <c r="O643" s="6"/>
      <c r="Q643" s="6"/>
    </row>
    <row r="644">
      <c r="A644" s="119">
        <v>46253.0</v>
      </c>
      <c r="B644" s="112" t="s">
        <v>11</v>
      </c>
      <c r="C644" s="112" t="s">
        <v>116</v>
      </c>
      <c r="D644" s="114">
        <v>23.0</v>
      </c>
      <c r="E644" s="120">
        <v>3050.0</v>
      </c>
      <c r="F644" s="116">
        <f t="shared" si="94"/>
        <v>70150</v>
      </c>
      <c r="G644" s="116">
        <f t="shared" ref="G644:G645" si="97">(1860/34)*D644</f>
        <v>1258.235294</v>
      </c>
      <c r="H644" s="116">
        <f>23*15</f>
        <v>345</v>
      </c>
      <c r="I644" s="117"/>
      <c r="J644" s="118">
        <f t="shared" si="95"/>
        <v>71753.23529</v>
      </c>
      <c r="K644" s="13"/>
      <c r="L644" s="5"/>
      <c r="O644" s="6"/>
      <c r="Q644" s="6"/>
    </row>
    <row r="645">
      <c r="A645" s="119">
        <v>46253.0</v>
      </c>
      <c r="B645" s="112" t="s">
        <v>11</v>
      </c>
      <c r="C645" s="112" t="s">
        <v>117</v>
      </c>
      <c r="D645" s="114">
        <v>11.0</v>
      </c>
      <c r="E645" s="120">
        <f>33250/11</f>
        <v>3022.727273</v>
      </c>
      <c r="F645" s="116">
        <f t="shared" si="94"/>
        <v>33250</v>
      </c>
      <c r="G645" s="116">
        <f t="shared" si="97"/>
        <v>601.7647059</v>
      </c>
      <c r="H645" s="116">
        <f>11*15</f>
        <v>165</v>
      </c>
      <c r="I645" s="117"/>
      <c r="J645" s="118">
        <f t="shared" si="95"/>
        <v>34016.76471</v>
      </c>
      <c r="K645" s="13"/>
      <c r="L645" s="5"/>
      <c r="O645" s="6"/>
      <c r="Q645" s="6"/>
    </row>
    <row r="646">
      <c r="A646" s="119">
        <v>46253.0</v>
      </c>
      <c r="B646" s="112" t="s">
        <v>11</v>
      </c>
      <c r="C646" s="112" t="s">
        <v>118</v>
      </c>
      <c r="D646" s="114">
        <v>65.0</v>
      </c>
      <c r="E646" s="120">
        <f>(46400+155657)/65</f>
        <v>3108.569231</v>
      </c>
      <c r="F646" s="116">
        <f t="shared" si="94"/>
        <v>202057</v>
      </c>
      <c r="G646" s="116">
        <f>1320*2</f>
        <v>2640</v>
      </c>
      <c r="H646" s="117"/>
      <c r="I646" s="117"/>
      <c r="J646" s="118">
        <f t="shared" si="95"/>
        <v>204697</v>
      </c>
      <c r="K646" s="13"/>
      <c r="L646" s="5"/>
      <c r="O646" s="6"/>
      <c r="Q646" s="6"/>
    </row>
    <row r="647">
      <c r="A647" s="119">
        <v>46253.0</v>
      </c>
      <c r="B647" s="112" t="s">
        <v>11</v>
      </c>
      <c r="C647" s="112" t="s">
        <v>119</v>
      </c>
      <c r="D647" s="114">
        <v>6.0</v>
      </c>
      <c r="E647" s="120">
        <v>3075.0</v>
      </c>
      <c r="F647" s="116">
        <f t="shared" si="94"/>
        <v>18450</v>
      </c>
      <c r="G647" s="116">
        <v>0.0</v>
      </c>
      <c r="H647" s="116">
        <v>0.0</v>
      </c>
      <c r="I647" s="117"/>
      <c r="J647" s="118">
        <f t="shared" si="95"/>
        <v>18450</v>
      </c>
      <c r="K647" s="13"/>
      <c r="L647" s="5"/>
      <c r="O647" s="6"/>
      <c r="Q647" s="6"/>
    </row>
    <row r="648">
      <c r="A648" s="119">
        <v>46254.0</v>
      </c>
      <c r="B648" s="112" t="s">
        <v>11</v>
      </c>
      <c r="C648" s="112" t="s">
        <v>120</v>
      </c>
      <c r="D648" s="114">
        <v>12.0</v>
      </c>
      <c r="E648" s="120">
        <v>3000.0</v>
      </c>
      <c r="F648" s="116">
        <f t="shared" si="94"/>
        <v>36000</v>
      </c>
      <c r="G648" s="116">
        <v>720.0</v>
      </c>
      <c r="H648" s="116">
        <f>12*15</f>
        <v>180</v>
      </c>
      <c r="I648" s="117"/>
      <c r="J648" s="118">
        <f t="shared" si="95"/>
        <v>36900</v>
      </c>
      <c r="K648" s="13"/>
      <c r="L648" s="5"/>
      <c r="O648" s="6"/>
      <c r="Q648" s="6"/>
    </row>
    <row r="649">
      <c r="A649" s="119">
        <v>46255.0</v>
      </c>
      <c r="B649" s="112" t="s">
        <v>11</v>
      </c>
      <c r="C649" s="112" t="s">
        <v>120</v>
      </c>
      <c r="D649" s="114">
        <v>15.0</v>
      </c>
      <c r="E649" s="120">
        <v>3000.0</v>
      </c>
      <c r="F649" s="116">
        <f t="shared" si="94"/>
        <v>45000</v>
      </c>
      <c r="G649" s="116">
        <v>650.0</v>
      </c>
      <c r="H649" s="116">
        <f>15*15</f>
        <v>225</v>
      </c>
      <c r="I649" s="117"/>
      <c r="J649" s="118">
        <f t="shared" si="95"/>
        <v>45875</v>
      </c>
      <c r="K649" s="13"/>
      <c r="L649" s="5"/>
      <c r="O649" s="6"/>
      <c r="Q649" s="6"/>
    </row>
    <row r="650">
      <c r="A650" s="119">
        <v>46255.0</v>
      </c>
      <c r="B650" s="112" t="s">
        <v>11</v>
      </c>
      <c r="C650" s="112" t="s">
        <v>112</v>
      </c>
      <c r="D650" s="114">
        <v>8.0</v>
      </c>
      <c r="E650" s="120">
        <v>3000.0</v>
      </c>
      <c r="F650" s="116">
        <f t="shared" si="94"/>
        <v>24000</v>
      </c>
      <c r="G650" s="116">
        <v>900.0</v>
      </c>
      <c r="H650" s="117"/>
      <c r="I650" s="117"/>
      <c r="J650" s="118">
        <f t="shared" si="95"/>
        <v>24900</v>
      </c>
      <c r="K650" s="13"/>
      <c r="L650" s="5"/>
      <c r="O650" s="6"/>
      <c r="Q650" s="6"/>
    </row>
    <row r="651">
      <c r="A651" s="119">
        <v>46255.0</v>
      </c>
      <c r="B651" s="112" t="s">
        <v>11</v>
      </c>
      <c r="C651" s="112" t="s">
        <v>121</v>
      </c>
      <c r="D651" s="114">
        <v>32.0</v>
      </c>
      <c r="E651" s="120">
        <v>3100.0</v>
      </c>
      <c r="F651" s="116">
        <f t="shared" si="94"/>
        <v>99200</v>
      </c>
      <c r="G651" s="116">
        <v>2040.0</v>
      </c>
      <c r="H651" s="116">
        <f>15*32</f>
        <v>480</v>
      </c>
      <c r="I651" s="117"/>
      <c r="J651" s="118">
        <f t="shared" si="95"/>
        <v>101720</v>
      </c>
      <c r="K651" s="13"/>
      <c r="L651" s="5"/>
      <c r="O651" s="6"/>
      <c r="Q651" s="6"/>
    </row>
    <row r="652">
      <c r="A652" s="111"/>
      <c r="B652" s="112"/>
      <c r="C652" s="112"/>
      <c r="D652" s="121"/>
      <c r="E652" s="122"/>
      <c r="F652" s="116">
        <f t="shared" si="94"/>
        <v>0</v>
      </c>
      <c r="G652" s="117"/>
      <c r="H652" s="117"/>
      <c r="I652" s="117"/>
      <c r="J652" s="118">
        <f t="shared" si="95"/>
        <v>0</v>
      </c>
      <c r="K652" s="13"/>
      <c r="L652" s="5"/>
      <c r="O652" s="6"/>
      <c r="Q652" s="6"/>
    </row>
    <row r="653">
      <c r="A653" s="111"/>
      <c r="B653" s="112"/>
      <c r="C653" s="112"/>
      <c r="D653" s="121"/>
      <c r="E653" s="122"/>
      <c r="F653" s="116">
        <f t="shared" si="94"/>
        <v>0</v>
      </c>
      <c r="G653" s="117"/>
      <c r="H653" s="117"/>
      <c r="I653" s="117"/>
      <c r="J653" s="118">
        <f t="shared" si="95"/>
        <v>0</v>
      </c>
      <c r="K653" s="13"/>
      <c r="L653" s="5"/>
      <c r="O653" s="6"/>
      <c r="Q653" s="6"/>
    </row>
    <row r="654">
      <c r="A654" s="111"/>
      <c r="B654" s="112"/>
      <c r="C654" s="112"/>
      <c r="D654" s="121"/>
      <c r="E654" s="122"/>
      <c r="F654" s="117"/>
      <c r="G654" s="117"/>
      <c r="H654" s="117"/>
      <c r="I654" s="117"/>
      <c r="J654" s="123"/>
      <c r="K654" s="13"/>
      <c r="L654" s="5"/>
      <c r="O654" s="6"/>
      <c r="Q654" s="6"/>
    </row>
    <row r="655">
      <c r="A655" s="124"/>
      <c r="B655" s="112"/>
      <c r="C655" s="125" t="s">
        <v>14</v>
      </c>
      <c r="D655" s="126">
        <f>SUM(D641:D654)</f>
        <v>214</v>
      </c>
      <c r="E655" s="117"/>
      <c r="F655" s="117"/>
      <c r="G655" s="117"/>
      <c r="H655" s="127" t="s">
        <v>15</v>
      </c>
      <c r="I655" s="24"/>
      <c r="J655" s="128">
        <f>SUM(J641:J654)</f>
        <v>660542.4348</v>
      </c>
      <c r="K655" s="13"/>
      <c r="L655" s="5"/>
      <c r="O655" s="6"/>
      <c r="Q655" s="6"/>
    </row>
    <row r="656">
      <c r="A656" s="124"/>
      <c r="B656" s="112"/>
      <c r="C656" s="112"/>
      <c r="D656" s="121"/>
      <c r="E656" s="117"/>
      <c r="F656" s="117"/>
      <c r="G656" s="117"/>
      <c r="H656" s="127" t="s">
        <v>16</v>
      </c>
      <c r="I656" s="24"/>
      <c r="J656" s="129">
        <f>J655/D655</f>
        <v>3086.646892</v>
      </c>
      <c r="K656" s="13"/>
      <c r="L656" s="5"/>
      <c r="O656" s="6"/>
      <c r="Q656" s="6"/>
    </row>
    <row r="657">
      <c r="A657" s="124"/>
      <c r="B657" s="112"/>
      <c r="C657" s="112"/>
      <c r="D657" s="121"/>
      <c r="E657" s="117"/>
      <c r="F657" s="117"/>
      <c r="G657" s="117"/>
      <c r="H657" s="117"/>
      <c r="I657" s="117"/>
      <c r="J657" s="123"/>
      <c r="K657" s="13"/>
      <c r="L657" s="5"/>
      <c r="O657" s="6"/>
      <c r="Q657" s="6"/>
    </row>
    <row r="658">
      <c r="A658" s="124"/>
      <c r="B658" s="112"/>
      <c r="C658" s="112"/>
      <c r="D658" s="121"/>
      <c r="E658" s="117"/>
      <c r="F658" s="117"/>
      <c r="G658" s="117"/>
      <c r="H658" s="117"/>
      <c r="I658" s="117"/>
      <c r="J658" s="123"/>
      <c r="K658" s="13"/>
      <c r="L658" s="5"/>
      <c r="O658" s="6"/>
      <c r="Q658" s="6"/>
    </row>
    <row r="659">
      <c r="A659" s="124"/>
      <c r="B659" s="112"/>
      <c r="C659" s="112"/>
      <c r="D659" s="121"/>
      <c r="E659" s="117"/>
      <c r="F659" s="130" t="str">
        <f>CONCATENATE("Temos ",D655," cabeças, custando: ",TEXT(J656, "R$#.###,##"))</f>
        <v>Temos 214 cabeças, custando: R$3.086,64689</v>
      </c>
      <c r="J659" s="29"/>
      <c r="K659" s="13"/>
      <c r="L659" s="5"/>
      <c r="O659" s="6"/>
      <c r="Q659" s="6"/>
    </row>
    <row r="660">
      <c r="A660" s="131" t="s">
        <v>1</v>
      </c>
      <c r="B660" s="132" t="s">
        <v>2</v>
      </c>
      <c r="C660" s="132" t="s">
        <v>3</v>
      </c>
      <c r="D660" s="133" t="s">
        <v>4</v>
      </c>
      <c r="E660" s="134" t="s">
        <v>5</v>
      </c>
      <c r="F660" s="134" t="s">
        <v>6</v>
      </c>
      <c r="G660" s="134" t="s">
        <v>7</v>
      </c>
      <c r="H660" s="134" t="s">
        <v>8</v>
      </c>
      <c r="I660" s="134" t="s">
        <v>17</v>
      </c>
      <c r="J660" s="135" t="s">
        <v>10</v>
      </c>
      <c r="K660" s="13"/>
      <c r="L660" s="5"/>
      <c r="O660" s="6"/>
      <c r="Q660" s="6"/>
    </row>
    <row r="661">
      <c r="A661" s="119">
        <v>46254.0</v>
      </c>
      <c r="B661" s="112" t="s">
        <v>11</v>
      </c>
      <c r="C661" s="112" t="s">
        <v>30</v>
      </c>
      <c r="D661" s="136">
        <v>96.0</v>
      </c>
      <c r="E661" s="137">
        <v>3311.14583</v>
      </c>
      <c r="F661" s="116">
        <f t="shared" ref="F661:F665" si="98">D661*E661</f>
        <v>317869.9997</v>
      </c>
      <c r="G661" s="117"/>
      <c r="H661" s="117"/>
      <c r="I661" s="138">
        <f t="shared" ref="I661:I662" si="99">D661*-4.85</f>
        <v>-465.6</v>
      </c>
      <c r="J661" s="118">
        <f t="shared" ref="J661:J665" si="100">F661+G661+H661+I661</f>
        <v>317404.3997</v>
      </c>
      <c r="K661" s="13"/>
      <c r="L661" s="5"/>
      <c r="O661" s="6"/>
      <c r="Q661" s="6"/>
    </row>
    <row r="662">
      <c r="A662" s="119">
        <v>46254.0</v>
      </c>
      <c r="B662" s="112" t="s">
        <v>11</v>
      </c>
      <c r="C662" s="112" t="s">
        <v>30</v>
      </c>
      <c r="D662" s="136">
        <v>82.0</v>
      </c>
      <c r="E662" s="137">
        <v>3100.0</v>
      </c>
      <c r="F662" s="116">
        <f t="shared" si="98"/>
        <v>254200</v>
      </c>
      <c r="G662" s="117"/>
      <c r="H662" s="117"/>
      <c r="I662" s="138">
        <f t="shared" si="99"/>
        <v>-397.7</v>
      </c>
      <c r="J662" s="118">
        <f t="shared" si="100"/>
        <v>253802.3</v>
      </c>
      <c r="K662" s="13"/>
      <c r="L662" s="5"/>
      <c r="O662" s="6"/>
      <c r="Q662" s="6"/>
    </row>
    <row r="663">
      <c r="A663" s="111"/>
      <c r="B663" s="112"/>
      <c r="C663" s="112" t="s">
        <v>83</v>
      </c>
      <c r="D663" s="136">
        <v>1.0</v>
      </c>
      <c r="E663" s="137">
        <v>0.0</v>
      </c>
      <c r="F663" s="116">
        <f t="shared" si="98"/>
        <v>0</v>
      </c>
      <c r="G663" s="117"/>
      <c r="H663" s="117"/>
      <c r="I663" s="117"/>
      <c r="J663" s="118">
        <f t="shared" si="100"/>
        <v>0</v>
      </c>
      <c r="K663" s="13"/>
      <c r="L663" s="5"/>
      <c r="O663" s="6"/>
      <c r="Q663" s="6"/>
    </row>
    <row r="664">
      <c r="A664" s="111"/>
      <c r="B664" s="112"/>
      <c r="C664" s="112" t="s">
        <v>22</v>
      </c>
      <c r="D664" s="136">
        <v>35.0</v>
      </c>
      <c r="E664" s="137">
        <v>2900.0</v>
      </c>
      <c r="F664" s="116">
        <f t="shared" si="98"/>
        <v>101500</v>
      </c>
      <c r="G664" s="117"/>
      <c r="H664" s="117"/>
      <c r="I664" s="117"/>
      <c r="J664" s="118">
        <f t="shared" si="100"/>
        <v>101500</v>
      </c>
      <c r="K664" s="13"/>
      <c r="L664" s="5"/>
      <c r="O664" s="6"/>
      <c r="Q664" s="6"/>
    </row>
    <row r="665">
      <c r="A665" s="111"/>
      <c r="B665" s="112"/>
      <c r="C665" s="112"/>
      <c r="D665" s="121"/>
      <c r="E665" s="117"/>
      <c r="F665" s="116">
        <f t="shared" si="98"/>
        <v>0</v>
      </c>
      <c r="G665" s="117"/>
      <c r="H665" s="117"/>
      <c r="I665" s="117"/>
      <c r="J665" s="118">
        <f t="shared" si="100"/>
        <v>0</v>
      </c>
      <c r="K665" s="13"/>
      <c r="L665" s="5"/>
      <c r="O665" s="6"/>
      <c r="Q665" s="6"/>
    </row>
    <row r="666">
      <c r="A666" s="111"/>
      <c r="B666" s="112"/>
      <c r="C666" s="112"/>
      <c r="D666" s="121"/>
      <c r="E666" s="117"/>
      <c r="F666" s="117"/>
      <c r="G666" s="117"/>
      <c r="H666" s="117"/>
      <c r="I666" s="117"/>
      <c r="J666" s="123"/>
      <c r="K666" s="13"/>
      <c r="L666" s="5"/>
      <c r="O666" s="6"/>
      <c r="Q666" s="6"/>
    </row>
    <row r="667">
      <c r="A667" s="124"/>
      <c r="B667" s="112"/>
      <c r="C667" s="139" t="s">
        <v>14</v>
      </c>
      <c r="D667" s="126">
        <f>SUM(D661:D666)</f>
        <v>214</v>
      </c>
      <c r="E667" s="117"/>
      <c r="F667" s="117"/>
      <c r="G667" s="117"/>
      <c r="H667" s="140" t="s">
        <v>10</v>
      </c>
      <c r="I667" s="24"/>
      <c r="J667" s="128">
        <f>SUM(J661:J666)</f>
        <v>672706.6997</v>
      </c>
      <c r="K667" s="13"/>
      <c r="L667" s="5"/>
      <c r="O667" s="6"/>
      <c r="Q667" s="6"/>
    </row>
    <row r="668">
      <c r="A668" s="124"/>
      <c r="B668" s="112"/>
      <c r="C668" s="112"/>
      <c r="D668" s="121"/>
      <c r="E668" s="117"/>
      <c r="F668" s="117"/>
      <c r="G668" s="117"/>
      <c r="H668" s="140" t="s">
        <v>16</v>
      </c>
      <c r="I668" s="24"/>
      <c r="J668" s="129">
        <f>J667/D667</f>
        <v>3143.489251</v>
      </c>
      <c r="K668" s="13"/>
      <c r="L668" s="5"/>
      <c r="O668" s="6"/>
      <c r="Q668" s="6"/>
    </row>
    <row r="669">
      <c r="A669" s="124"/>
      <c r="B669" s="112"/>
      <c r="C669" s="112"/>
      <c r="D669" s="121"/>
      <c r="E669" s="117"/>
      <c r="F669" s="117"/>
      <c r="G669" s="117"/>
      <c r="H669" s="117"/>
      <c r="I669" s="117"/>
      <c r="J669" s="123"/>
      <c r="K669" s="13"/>
      <c r="L669" s="5"/>
      <c r="O669" s="6"/>
      <c r="Q669" s="6"/>
    </row>
    <row r="670">
      <c r="A670" s="124"/>
      <c r="B670" s="112"/>
      <c r="C670" s="112"/>
      <c r="D670" s="121"/>
      <c r="E670" s="117"/>
      <c r="F670" s="117"/>
      <c r="G670" s="117"/>
      <c r="H670" s="140" t="s">
        <v>23</v>
      </c>
      <c r="I670" s="24"/>
      <c r="J670" s="128">
        <f>J667-J655</f>
        <v>12164.2649</v>
      </c>
      <c r="K670" s="13"/>
      <c r="L670" s="5"/>
      <c r="O670" s="6"/>
      <c r="Q670" s="6"/>
    </row>
    <row r="671">
      <c r="A671" s="124"/>
      <c r="B671" s="112"/>
      <c r="C671" s="112"/>
      <c r="D671" s="121"/>
      <c r="E671" s="117"/>
      <c r="F671" s="117"/>
      <c r="G671" s="117"/>
      <c r="H671" s="117"/>
      <c r="I671" s="117"/>
      <c r="J671" s="123"/>
      <c r="K671" s="13"/>
      <c r="L671" s="5"/>
      <c r="O671" s="6"/>
      <c r="Q671" s="6"/>
    </row>
    <row r="672">
      <c r="A672" s="124"/>
      <c r="B672" s="112"/>
      <c r="C672" s="141" t="s">
        <v>22</v>
      </c>
      <c r="D672" s="114">
        <f>D655-D667</f>
        <v>0</v>
      </c>
      <c r="E672" s="117"/>
      <c r="F672" s="117"/>
      <c r="G672" s="117"/>
      <c r="H672" s="142" t="s">
        <v>24</v>
      </c>
      <c r="I672" s="24"/>
      <c r="J672" s="143" t="str">
        <f>J670/D672</f>
        <v>#DIV/0!</v>
      </c>
      <c r="K672" s="13"/>
      <c r="L672" s="5"/>
      <c r="O672" s="6"/>
      <c r="Q672" s="6"/>
    </row>
    <row r="673">
      <c r="A673" s="124"/>
      <c r="B673" s="112"/>
      <c r="C673" s="112"/>
      <c r="D673" s="121"/>
      <c r="E673" s="117"/>
      <c r="F673" s="117"/>
      <c r="G673" s="117"/>
      <c r="H673" s="144" t="s">
        <v>25</v>
      </c>
      <c r="I673" s="24"/>
      <c r="J673" s="118">
        <f>J670/D667</f>
        <v>56.84235933</v>
      </c>
      <c r="K673" s="13"/>
      <c r="L673" s="5"/>
      <c r="O673" s="6"/>
      <c r="Q673" s="6"/>
    </row>
    <row r="674">
      <c r="A674" s="124"/>
      <c r="B674" s="112"/>
      <c r="C674" s="112"/>
      <c r="D674" s="121"/>
      <c r="E674" s="117"/>
      <c r="F674" s="117"/>
      <c r="G674" s="117"/>
      <c r="H674" s="112"/>
      <c r="I674" s="112"/>
      <c r="J674" s="123"/>
      <c r="K674" s="13"/>
      <c r="L674" s="5"/>
      <c r="O674" s="6"/>
      <c r="Q674" s="6"/>
    </row>
    <row r="675">
      <c r="A675" s="124"/>
      <c r="B675" s="112"/>
      <c r="C675" s="112"/>
      <c r="D675" s="121"/>
      <c r="E675" s="117"/>
      <c r="F675" s="145"/>
      <c r="G675" s="66"/>
      <c r="H675" s="66"/>
      <c r="I675" s="67"/>
      <c r="J675" s="146"/>
      <c r="K675" s="13"/>
      <c r="L675" s="5"/>
      <c r="O675" s="6"/>
      <c r="Q675" s="6"/>
    </row>
    <row r="676">
      <c r="A676" s="124"/>
      <c r="B676" s="112"/>
      <c r="C676" s="112"/>
      <c r="D676" s="121"/>
      <c r="E676" s="117"/>
      <c r="F676" s="147"/>
      <c r="G676" s="66"/>
      <c r="H676" s="66"/>
      <c r="I676" s="67"/>
      <c r="J676" s="146"/>
      <c r="K676" s="13"/>
      <c r="L676" s="5"/>
      <c r="O676" s="6"/>
      <c r="Q676" s="6"/>
    </row>
    <row r="677">
      <c r="A677" s="124"/>
      <c r="B677" s="112"/>
      <c r="C677" s="112"/>
      <c r="D677" s="121"/>
      <c r="E677" s="117"/>
      <c r="F677" s="148"/>
      <c r="G677" s="148"/>
      <c r="H677" s="140" t="s">
        <v>36</v>
      </c>
      <c r="I677" s="24"/>
      <c r="J677" s="128">
        <f>J670+J675+J676</f>
        <v>12164.2649</v>
      </c>
      <c r="K677" s="13"/>
      <c r="L677" s="5"/>
      <c r="O677" s="6"/>
      <c r="Q677" s="6"/>
    </row>
    <row r="678">
      <c r="A678" s="124"/>
      <c r="B678" s="112"/>
      <c r="C678" s="149" t="str">
        <f>IFERROR("Não sobrou",CONCATENATE("Parceria Mauro -&gt; Sobrou ",#REF!," cabeças, custando: ",TEXT(#REF!, "R$#,##")))</f>
        <v>Não sobrou</v>
      </c>
      <c r="J678" s="29"/>
      <c r="K678" s="13"/>
      <c r="L678" s="5"/>
      <c r="O678" s="6"/>
      <c r="Q678" s="6"/>
    </row>
    <row r="679">
      <c r="A679" s="124"/>
      <c r="B679" s="112"/>
      <c r="C679" s="112"/>
      <c r="D679" s="112"/>
      <c r="E679" s="112"/>
      <c r="F679" s="112"/>
      <c r="G679" s="112"/>
      <c r="H679" s="112"/>
      <c r="I679" s="112"/>
      <c r="J679" s="150"/>
      <c r="K679" s="13"/>
      <c r="L679" s="5"/>
      <c r="O679" s="6"/>
      <c r="Q679" s="6"/>
    </row>
    <row r="680">
      <c r="A680" s="151"/>
      <c r="B680" s="152"/>
      <c r="C680" s="153" t="str">
        <f>IF(J677&gt;0,CONCATENATE("Total de Lucro Parceria -&gt;: ",TEXT(J677, "R$#.##0,00")),"Não houve lucro")</f>
        <v>Total de Lucro Parceria -&gt;: R$12.164,26490</v>
      </c>
      <c r="D680" s="62"/>
      <c r="E680" s="62"/>
      <c r="F680" s="62"/>
      <c r="G680" s="62"/>
      <c r="H680" s="62"/>
      <c r="I680" s="62"/>
      <c r="J680" s="63"/>
      <c r="K680" s="13"/>
      <c r="L680" s="5"/>
      <c r="O680" s="6"/>
      <c r="Q680" s="6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3"/>
      <c r="L681" s="5"/>
      <c r="O681" s="6"/>
      <c r="Q681" s="6"/>
    </row>
    <row r="682">
      <c r="A682" s="105" t="s">
        <v>122</v>
      </c>
      <c r="B682" s="2"/>
      <c r="C682" s="2"/>
      <c r="D682" s="2"/>
      <c r="E682" s="2"/>
      <c r="F682" s="2"/>
      <c r="G682" s="2"/>
      <c r="H682" s="2"/>
      <c r="I682" s="2"/>
      <c r="J682" s="3"/>
      <c r="K682" s="13"/>
      <c r="L682" s="5"/>
      <c r="O682" s="6"/>
      <c r="Q682" s="6"/>
    </row>
    <row r="683">
      <c r="A683" s="106" t="s">
        <v>1</v>
      </c>
      <c r="B683" s="107" t="s">
        <v>2</v>
      </c>
      <c r="C683" s="107" t="s">
        <v>3</v>
      </c>
      <c r="D683" s="108" t="s">
        <v>4</v>
      </c>
      <c r="E683" s="109" t="s">
        <v>5</v>
      </c>
      <c r="F683" s="109" t="s">
        <v>6</v>
      </c>
      <c r="G683" s="109" t="s">
        <v>7</v>
      </c>
      <c r="H683" s="109" t="s">
        <v>8</v>
      </c>
      <c r="I683" s="109" t="s">
        <v>9</v>
      </c>
      <c r="J683" s="110" t="s">
        <v>10</v>
      </c>
      <c r="K683" s="13"/>
      <c r="L683" s="5"/>
      <c r="O683" s="6"/>
      <c r="Q683" s="6"/>
    </row>
    <row r="684">
      <c r="A684" s="119">
        <v>46250.0</v>
      </c>
      <c r="B684" s="112" t="s">
        <v>11</v>
      </c>
      <c r="C684" s="113" t="s">
        <v>115</v>
      </c>
      <c r="D684" s="114">
        <v>7.0</v>
      </c>
      <c r="E684" s="116">
        <v>2200.0</v>
      </c>
      <c r="F684" s="116">
        <f t="shared" ref="F684:F692" si="101">D684*E684</f>
        <v>15400</v>
      </c>
      <c r="G684" s="116">
        <f>(1050/23)*D684</f>
        <v>319.5652174</v>
      </c>
      <c r="H684" s="117"/>
      <c r="I684" s="117"/>
      <c r="J684" s="118">
        <f t="shared" ref="J684:J692" si="102">F684+G684+H684+I684</f>
        <v>15719.56522</v>
      </c>
      <c r="K684" s="13"/>
      <c r="L684" s="5"/>
      <c r="O684" s="6"/>
      <c r="Q684" s="6"/>
    </row>
    <row r="685">
      <c r="A685" s="111"/>
      <c r="B685" s="112"/>
      <c r="C685" s="112"/>
      <c r="D685" s="121"/>
      <c r="E685" s="122"/>
      <c r="F685" s="116">
        <f t="shared" si="101"/>
        <v>0</v>
      </c>
      <c r="G685" s="116">
        <f>(600/17)*D685</f>
        <v>0</v>
      </c>
      <c r="H685" s="117"/>
      <c r="I685" s="117"/>
      <c r="J685" s="118">
        <f t="shared" si="102"/>
        <v>0</v>
      </c>
      <c r="K685" s="13"/>
      <c r="L685" s="5"/>
      <c r="O685" s="6"/>
      <c r="Q685" s="6"/>
    </row>
    <row r="686">
      <c r="A686" s="111"/>
      <c r="B686" s="112"/>
      <c r="C686" s="112"/>
      <c r="D686" s="121"/>
      <c r="E686" s="122"/>
      <c r="F686" s="116">
        <f t="shared" si="101"/>
        <v>0</v>
      </c>
      <c r="G686" s="117"/>
      <c r="H686" s="117"/>
      <c r="I686" s="117"/>
      <c r="J686" s="118">
        <f t="shared" si="102"/>
        <v>0</v>
      </c>
      <c r="K686" s="13"/>
      <c r="L686" s="5"/>
      <c r="O686" s="6"/>
      <c r="Q686" s="6"/>
    </row>
    <row r="687">
      <c r="A687" s="111"/>
      <c r="B687" s="112"/>
      <c r="C687" s="112"/>
      <c r="D687" s="121"/>
      <c r="E687" s="122"/>
      <c r="F687" s="116">
        <f t="shared" si="101"/>
        <v>0</v>
      </c>
      <c r="G687" s="117"/>
      <c r="H687" s="117"/>
      <c r="I687" s="117"/>
      <c r="J687" s="118">
        <f t="shared" si="102"/>
        <v>0</v>
      </c>
      <c r="K687" s="13"/>
      <c r="L687" s="5"/>
      <c r="O687" s="6"/>
      <c r="Q687" s="6"/>
    </row>
    <row r="688">
      <c r="A688" s="111"/>
      <c r="B688" s="112"/>
      <c r="C688" s="112"/>
      <c r="D688" s="121"/>
      <c r="E688" s="122"/>
      <c r="F688" s="116">
        <f t="shared" si="101"/>
        <v>0</v>
      </c>
      <c r="G688" s="117"/>
      <c r="H688" s="117"/>
      <c r="I688" s="117"/>
      <c r="J688" s="118">
        <f t="shared" si="102"/>
        <v>0</v>
      </c>
      <c r="K688" s="13"/>
      <c r="L688" s="5"/>
      <c r="O688" s="6"/>
      <c r="Q688" s="6"/>
    </row>
    <row r="689">
      <c r="A689" s="111"/>
      <c r="B689" s="112"/>
      <c r="C689" s="112"/>
      <c r="D689" s="121"/>
      <c r="E689" s="122"/>
      <c r="F689" s="116">
        <f t="shared" si="101"/>
        <v>0</v>
      </c>
      <c r="G689" s="117"/>
      <c r="H689" s="117"/>
      <c r="I689" s="117"/>
      <c r="J689" s="118">
        <f t="shared" si="102"/>
        <v>0</v>
      </c>
      <c r="K689" s="13"/>
      <c r="L689" s="5"/>
      <c r="O689" s="6"/>
      <c r="Q689" s="6"/>
    </row>
    <row r="690">
      <c r="A690" s="111"/>
      <c r="B690" s="112"/>
      <c r="C690" s="112"/>
      <c r="D690" s="121"/>
      <c r="E690" s="122"/>
      <c r="F690" s="116">
        <f t="shared" si="101"/>
        <v>0</v>
      </c>
      <c r="G690" s="117"/>
      <c r="H690" s="117"/>
      <c r="I690" s="117"/>
      <c r="J690" s="118">
        <f t="shared" si="102"/>
        <v>0</v>
      </c>
      <c r="K690" s="13"/>
      <c r="L690" s="5"/>
      <c r="O690" s="6"/>
      <c r="Q690" s="6"/>
    </row>
    <row r="691">
      <c r="A691" s="111"/>
      <c r="B691" s="112"/>
      <c r="C691" s="112"/>
      <c r="D691" s="121"/>
      <c r="E691" s="122"/>
      <c r="F691" s="116">
        <f t="shared" si="101"/>
        <v>0</v>
      </c>
      <c r="G691" s="117"/>
      <c r="H691" s="117"/>
      <c r="I691" s="117"/>
      <c r="J691" s="118">
        <f t="shared" si="102"/>
        <v>0</v>
      </c>
      <c r="K691" s="13"/>
      <c r="L691" s="5"/>
      <c r="O691" s="6"/>
      <c r="Q691" s="6"/>
    </row>
    <row r="692">
      <c r="A692" s="111"/>
      <c r="B692" s="112"/>
      <c r="C692" s="112"/>
      <c r="D692" s="121"/>
      <c r="E692" s="122"/>
      <c r="F692" s="116">
        <f t="shared" si="101"/>
        <v>0</v>
      </c>
      <c r="G692" s="117"/>
      <c r="H692" s="117"/>
      <c r="I692" s="117"/>
      <c r="J692" s="118">
        <f t="shared" si="102"/>
        <v>0</v>
      </c>
      <c r="K692" s="13"/>
      <c r="L692" s="5"/>
      <c r="O692" s="6"/>
      <c r="Q692" s="6"/>
    </row>
    <row r="693">
      <c r="A693" s="111"/>
      <c r="B693" s="112"/>
      <c r="C693" s="112"/>
      <c r="D693" s="121"/>
      <c r="E693" s="122"/>
      <c r="F693" s="117"/>
      <c r="G693" s="117"/>
      <c r="H693" s="117"/>
      <c r="I693" s="117"/>
      <c r="J693" s="123"/>
      <c r="K693" s="13"/>
      <c r="L693" s="5"/>
      <c r="O693" s="6"/>
      <c r="Q693" s="6"/>
    </row>
    <row r="694">
      <c r="A694" s="124"/>
      <c r="B694" s="112"/>
      <c r="C694" s="125" t="s">
        <v>14</v>
      </c>
      <c r="D694" s="126">
        <f>SUM(D684:D693)</f>
        <v>7</v>
      </c>
      <c r="E694" s="117"/>
      <c r="F694" s="117"/>
      <c r="G694" s="117"/>
      <c r="H694" s="127" t="s">
        <v>15</v>
      </c>
      <c r="I694" s="24"/>
      <c r="J694" s="128">
        <f>SUM(J684:J693)</f>
        <v>15719.56522</v>
      </c>
      <c r="K694" s="13"/>
      <c r="L694" s="5"/>
      <c r="O694" s="6"/>
      <c r="Q694" s="6"/>
    </row>
    <row r="695">
      <c r="A695" s="124"/>
      <c r="B695" s="112"/>
      <c r="C695" s="112"/>
      <c r="D695" s="121"/>
      <c r="E695" s="117"/>
      <c r="F695" s="117"/>
      <c r="G695" s="117"/>
      <c r="H695" s="127" t="s">
        <v>16</v>
      </c>
      <c r="I695" s="24"/>
      <c r="J695" s="129">
        <f>J694/D694</f>
        <v>2245.652174</v>
      </c>
      <c r="K695" s="13"/>
      <c r="L695" s="5"/>
      <c r="O695" s="6"/>
      <c r="Q695" s="6"/>
    </row>
    <row r="696">
      <c r="A696" s="124"/>
      <c r="B696" s="112"/>
      <c r="C696" s="112"/>
      <c r="D696" s="121"/>
      <c r="E696" s="117"/>
      <c r="F696" s="117"/>
      <c r="G696" s="117"/>
      <c r="H696" s="117"/>
      <c r="I696" s="117"/>
      <c r="J696" s="123"/>
      <c r="K696" s="13"/>
      <c r="L696" s="5"/>
      <c r="O696" s="6"/>
      <c r="Q696" s="6"/>
    </row>
    <row r="697">
      <c r="A697" s="124"/>
      <c r="B697" s="112"/>
      <c r="C697" s="112"/>
      <c r="D697" s="121"/>
      <c r="E697" s="117"/>
      <c r="F697" s="117"/>
      <c r="G697" s="117"/>
      <c r="H697" s="117"/>
      <c r="I697" s="117"/>
      <c r="J697" s="123"/>
      <c r="K697" s="13"/>
      <c r="L697" s="5"/>
      <c r="O697" s="6"/>
      <c r="Q697" s="6"/>
    </row>
    <row r="698">
      <c r="A698" s="124"/>
      <c r="B698" s="112"/>
      <c r="C698" s="112"/>
      <c r="D698" s="121"/>
      <c r="E698" s="117"/>
      <c r="F698" s="130" t="str">
        <f>CONCATENATE("Temos ",D694," cabeças, custando: ",TEXT(J695, "R$#.###,##"))</f>
        <v>Temos 7 cabeças, custando: R$2.245,65217</v>
      </c>
      <c r="J698" s="29"/>
      <c r="K698" s="13"/>
      <c r="L698" s="5"/>
      <c r="O698" s="6"/>
      <c r="Q698" s="6"/>
    </row>
    <row r="699">
      <c r="A699" s="131" t="s">
        <v>1</v>
      </c>
      <c r="B699" s="132" t="s">
        <v>2</v>
      </c>
      <c r="C699" s="132" t="s">
        <v>3</v>
      </c>
      <c r="D699" s="133" t="s">
        <v>4</v>
      </c>
      <c r="E699" s="134" t="s">
        <v>5</v>
      </c>
      <c r="F699" s="134" t="s">
        <v>6</v>
      </c>
      <c r="G699" s="134" t="s">
        <v>7</v>
      </c>
      <c r="H699" s="134" t="s">
        <v>8</v>
      </c>
      <c r="I699" s="134" t="s">
        <v>17</v>
      </c>
      <c r="J699" s="135" t="s">
        <v>10</v>
      </c>
      <c r="K699" s="13"/>
      <c r="L699" s="5"/>
      <c r="O699" s="6"/>
      <c r="Q699" s="6"/>
    </row>
    <row r="700">
      <c r="A700" s="119">
        <v>46255.0</v>
      </c>
      <c r="B700" s="112" t="s">
        <v>20</v>
      </c>
      <c r="C700" s="112" t="s">
        <v>112</v>
      </c>
      <c r="D700" s="136">
        <v>6.0</v>
      </c>
      <c r="E700" s="157">
        <f>17000/7</f>
        <v>2428.571429</v>
      </c>
      <c r="F700" s="116">
        <f t="shared" ref="F700:F703" si="103">D700*E700</f>
        <v>14571.42857</v>
      </c>
      <c r="G700" s="117"/>
      <c r="H700" s="117"/>
      <c r="I700" s="138">
        <f>D700*-4.85</f>
        <v>-29.1</v>
      </c>
      <c r="J700" s="118">
        <f t="shared" ref="J700:J703" si="104">F700+G700+H700+I700</f>
        <v>14542.32857</v>
      </c>
      <c r="K700" s="13"/>
      <c r="L700" s="5"/>
      <c r="O700" s="6"/>
      <c r="Q700" s="6"/>
    </row>
    <row r="701">
      <c r="A701" s="111"/>
      <c r="B701" s="112" t="s">
        <v>123</v>
      </c>
      <c r="C701" s="112" t="s">
        <v>83</v>
      </c>
      <c r="D701" s="136">
        <v>1.0</v>
      </c>
      <c r="E701" s="137">
        <v>2200.0</v>
      </c>
      <c r="F701" s="116">
        <f t="shared" si="103"/>
        <v>2200</v>
      </c>
      <c r="G701" s="117"/>
      <c r="H701" s="117"/>
      <c r="I701" s="117"/>
      <c r="J701" s="118">
        <f t="shared" si="104"/>
        <v>2200</v>
      </c>
      <c r="K701" s="13"/>
      <c r="L701" s="5"/>
      <c r="O701" s="6"/>
      <c r="Q701" s="6"/>
    </row>
    <row r="702">
      <c r="A702" s="111"/>
      <c r="B702" s="112"/>
      <c r="C702" s="112"/>
      <c r="D702" s="121"/>
      <c r="E702" s="117"/>
      <c r="F702" s="116">
        <f t="shared" si="103"/>
        <v>0</v>
      </c>
      <c r="G702" s="117"/>
      <c r="H702" s="117"/>
      <c r="I702" s="138">
        <f>D702*-4.85</f>
        <v>0</v>
      </c>
      <c r="J702" s="118">
        <f t="shared" si="104"/>
        <v>0</v>
      </c>
      <c r="K702" s="13"/>
      <c r="L702" s="5"/>
      <c r="O702" s="6"/>
      <c r="Q702" s="6"/>
    </row>
    <row r="703">
      <c r="A703" s="111"/>
      <c r="B703" s="112"/>
      <c r="C703" s="112"/>
      <c r="D703" s="121"/>
      <c r="E703" s="117"/>
      <c r="F703" s="116">
        <f t="shared" si="103"/>
        <v>0</v>
      </c>
      <c r="G703" s="117"/>
      <c r="H703" s="117"/>
      <c r="I703" s="117"/>
      <c r="J703" s="118">
        <f t="shared" si="104"/>
        <v>0</v>
      </c>
      <c r="K703" s="13"/>
      <c r="L703" s="5"/>
      <c r="O703" s="6"/>
      <c r="Q703" s="6"/>
    </row>
    <row r="704">
      <c r="A704" s="111"/>
      <c r="B704" s="112"/>
      <c r="C704" s="112"/>
      <c r="D704" s="121"/>
      <c r="E704" s="117"/>
      <c r="F704" s="117"/>
      <c r="G704" s="117"/>
      <c r="H704" s="117"/>
      <c r="I704" s="117"/>
      <c r="J704" s="123"/>
      <c r="K704" s="13"/>
      <c r="L704" s="5"/>
      <c r="O704" s="6"/>
      <c r="Q704" s="6"/>
    </row>
    <row r="705">
      <c r="A705" s="124"/>
      <c r="B705" s="112"/>
      <c r="C705" s="139" t="s">
        <v>14</v>
      </c>
      <c r="D705" s="126">
        <f>SUM(D700:D704)</f>
        <v>7</v>
      </c>
      <c r="E705" s="117"/>
      <c r="F705" s="117"/>
      <c r="G705" s="117"/>
      <c r="H705" s="140" t="s">
        <v>10</v>
      </c>
      <c r="I705" s="24"/>
      <c r="J705" s="128">
        <f>SUM(J700:J704)</f>
        <v>16742.32857</v>
      </c>
      <c r="K705" s="13"/>
      <c r="L705" s="5"/>
      <c r="O705" s="6"/>
      <c r="Q705" s="6"/>
    </row>
    <row r="706">
      <c r="A706" s="124"/>
      <c r="B706" s="112"/>
      <c r="C706" s="112"/>
      <c r="D706" s="121"/>
      <c r="E706" s="117"/>
      <c r="F706" s="117"/>
      <c r="G706" s="117"/>
      <c r="H706" s="140" t="s">
        <v>16</v>
      </c>
      <c r="I706" s="24"/>
      <c r="J706" s="129">
        <f>J705/D705</f>
        <v>2391.761224</v>
      </c>
      <c r="K706" s="13"/>
      <c r="L706" s="5"/>
      <c r="O706" s="6"/>
      <c r="Q706" s="6"/>
    </row>
    <row r="707">
      <c r="A707" s="124"/>
      <c r="B707" s="112"/>
      <c r="C707" s="112"/>
      <c r="D707" s="121"/>
      <c r="E707" s="117"/>
      <c r="F707" s="117"/>
      <c r="G707" s="117"/>
      <c r="H707" s="117"/>
      <c r="I707" s="117"/>
      <c r="J707" s="123"/>
      <c r="K707" s="13"/>
      <c r="L707" s="5"/>
      <c r="O707" s="6"/>
      <c r="Q707" s="6"/>
    </row>
    <row r="708">
      <c r="A708" s="124"/>
      <c r="B708" s="112"/>
      <c r="C708" s="112"/>
      <c r="D708" s="121"/>
      <c r="E708" s="117"/>
      <c r="F708" s="117"/>
      <c r="G708" s="117"/>
      <c r="H708" s="140" t="s">
        <v>23</v>
      </c>
      <c r="I708" s="24"/>
      <c r="J708" s="128">
        <f>J705-J694</f>
        <v>1022.763354</v>
      </c>
      <c r="K708" s="13"/>
      <c r="L708" s="5"/>
      <c r="O708" s="6"/>
      <c r="Q708" s="6"/>
    </row>
    <row r="709">
      <c r="A709" s="124"/>
      <c r="B709" s="112"/>
      <c r="C709" s="112"/>
      <c r="D709" s="121"/>
      <c r="E709" s="117"/>
      <c r="F709" s="117"/>
      <c r="G709" s="117"/>
      <c r="H709" s="117"/>
      <c r="I709" s="117"/>
      <c r="J709" s="123"/>
      <c r="K709" s="13"/>
      <c r="L709" s="5"/>
      <c r="O709" s="6"/>
      <c r="Q709" s="6"/>
    </row>
    <row r="710">
      <c r="A710" s="124"/>
      <c r="B710" s="112"/>
      <c r="C710" s="141" t="s">
        <v>22</v>
      </c>
      <c r="D710" s="114">
        <f>D694-D705</f>
        <v>0</v>
      </c>
      <c r="E710" s="117"/>
      <c r="F710" s="117"/>
      <c r="G710" s="117"/>
      <c r="H710" s="142" t="s">
        <v>24</v>
      </c>
      <c r="I710" s="24"/>
      <c r="J710" s="143" t="str">
        <f>J708/D710</f>
        <v>#DIV/0!</v>
      </c>
      <c r="K710" s="13"/>
      <c r="L710" s="5"/>
      <c r="O710" s="6"/>
      <c r="Q710" s="6"/>
    </row>
    <row r="711">
      <c r="A711" s="124"/>
      <c r="B711" s="112"/>
      <c r="C711" s="112"/>
      <c r="D711" s="121"/>
      <c r="E711" s="117"/>
      <c r="F711" s="117"/>
      <c r="G711" s="117"/>
      <c r="H711" s="144" t="s">
        <v>25</v>
      </c>
      <c r="I711" s="24"/>
      <c r="J711" s="118">
        <f>J708/D705</f>
        <v>146.1090506</v>
      </c>
      <c r="K711" s="13"/>
      <c r="L711" s="5"/>
      <c r="O711" s="6"/>
      <c r="Q711" s="6"/>
    </row>
    <row r="712">
      <c r="A712" s="124"/>
      <c r="B712" s="112"/>
      <c r="C712" s="112"/>
      <c r="D712" s="121"/>
      <c r="E712" s="117"/>
      <c r="F712" s="117"/>
      <c r="G712" s="117"/>
      <c r="H712" s="112"/>
      <c r="I712" s="112"/>
      <c r="J712" s="123"/>
      <c r="K712" s="13"/>
      <c r="L712" s="5"/>
      <c r="O712" s="6"/>
      <c r="Q712" s="6"/>
    </row>
    <row r="713">
      <c r="A713" s="124"/>
      <c r="B713" s="112"/>
      <c r="C713" s="112"/>
      <c r="D713" s="121"/>
      <c r="E713" s="117"/>
      <c r="F713" s="145"/>
      <c r="G713" s="66"/>
      <c r="H713" s="66"/>
      <c r="I713" s="67"/>
      <c r="J713" s="146"/>
      <c r="K713" s="13"/>
      <c r="L713" s="5"/>
      <c r="O713" s="6"/>
      <c r="Q713" s="6"/>
    </row>
    <row r="714">
      <c r="A714" s="124"/>
      <c r="B714" s="112"/>
      <c r="C714" s="112"/>
      <c r="D714" s="121"/>
      <c r="E714" s="117"/>
      <c r="F714" s="147"/>
      <c r="G714" s="66"/>
      <c r="H714" s="66"/>
      <c r="I714" s="67"/>
      <c r="J714" s="146"/>
      <c r="K714" s="13"/>
      <c r="L714" s="5"/>
      <c r="O714" s="6"/>
      <c r="Q714" s="6"/>
    </row>
    <row r="715">
      <c r="A715" s="124"/>
      <c r="B715" s="112"/>
      <c r="C715" s="112"/>
      <c r="D715" s="121"/>
      <c r="E715" s="117"/>
      <c r="F715" s="148"/>
      <c r="G715" s="148"/>
      <c r="H715" s="140" t="s">
        <v>36</v>
      </c>
      <c r="I715" s="24"/>
      <c r="J715" s="128">
        <f>J708+J713+J714</f>
        <v>1022.763354</v>
      </c>
      <c r="K715" s="13"/>
      <c r="L715" s="5"/>
      <c r="O715" s="6"/>
      <c r="Q715" s="6"/>
    </row>
    <row r="716">
      <c r="A716" s="124"/>
      <c r="B716" s="112"/>
      <c r="C716" s="149" t="str">
        <f>IFERROR("Não sobrou",CONCATENATE("Parceria Mauro -&gt; Sobrou ",#REF!," cabeças, custando: ",TEXT(#REF!, "R$#,##")))</f>
        <v>Não sobrou</v>
      </c>
      <c r="J716" s="29"/>
      <c r="K716" s="13"/>
      <c r="L716" s="5"/>
      <c r="O716" s="6"/>
      <c r="Q716" s="6"/>
    </row>
    <row r="717">
      <c r="A717" s="124"/>
      <c r="B717" s="112"/>
      <c r="C717" s="112"/>
      <c r="D717" s="112"/>
      <c r="E717" s="112"/>
      <c r="F717" s="112"/>
      <c r="G717" s="112"/>
      <c r="H717" s="112"/>
      <c r="I717" s="112"/>
      <c r="J717" s="150"/>
      <c r="K717" s="13"/>
      <c r="L717" s="5"/>
      <c r="O717" s="6"/>
      <c r="Q717" s="6"/>
    </row>
    <row r="718">
      <c r="A718" s="151"/>
      <c r="B718" s="152"/>
      <c r="C718" s="153" t="str">
        <f>IF(J715&gt;0,CONCATENATE("Total de Lucro Parceria -&gt;: ",TEXT(J715, "R$#.##0,00")),"Não houve lucro")</f>
        <v>Total de Lucro Parceria -&gt;: R$1.022,76335</v>
      </c>
      <c r="D718" s="62"/>
      <c r="E718" s="62"/>
      <c r="F718" s="62"/>
      <c r="G718" s="62"/>
      <c r="H718" s="62"/>
      <c r="I718" s="62"/>
      <c r="J718" s="63"/>
      <c r="K718" s="13"/>
      <c r="L718" s="5"/>
      <c r="O718" s="6"/>
      <c r="Q718" s="6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3"/>
      <c r="L719" s="5"/>
      <c r="O719" s="6"/>
      <c r="Q719" s="6"/>
    </row>
    <row r="720">
      <c r="A720" s="105" t="s">
        <v>124</v>
      </c>
      <c r="B720" s="2"/>
      <c r="C720" s="2"/>
      <c r="D720" s="2"/>
      <c r="E720" s="2"/>
      <c r="F720" s="2"/>
      <c r="G720" s="2"/>
      <c r="H720" s="2"/>
      <c r="I720" s="2"/>
      <c r="J720" s="3"/>
      <c r="K720" s="13"/>
      <c r="L720" s="5"/>
      <c r="O720" s="6"/>
      <c r="Q720" s="6"/>
    </row>
    <row r="721">
      <c r="A721" s="106" t="s">
        <v>1</v>
      </c>
      <c r="B721" s="107" t="s">
        <v>2</v>
      </c>
      <c r="C721" s="107" t="s">
        <v>3</v>
      </c>
      <c r="D721" s="108" t="s">
        <v>4</v>
      </c>
      <c r="E721" s="109" t="s">
        <v>5</v>
      </c>
      <c r="F721" s="109" t="s">
        <v>6</v>
      </c>
      <c r="G721" s="109" t="s">
        <v>7</v>
      </c>
      <c r="H721" s="109" t="s">
        <v>8</v>
      </c>
      <c r="I721" s="109" t="s">
        <v>9</v>
      </c>
      <c r="J721" s="110" t="s">
        <v>10</v>
      </c>
      <c r="K721" s="13"/>
      <c r="L721" s="5"/>
      <c r="O721" s="6"/>
      <c r="Q721" s="6"/>
    </row>
    <row r="722">
      <c r="A722" s="119">
        <v>46261.0</v>
      </c>
      <c r="B722" s="112" t="s">
        <v>11</v>
      </c>
      <c r="C722" s="113" t="s">
        <v>64</v>
      </c>
      <c r="D722" s="114">
        <v>6.0</v>
      </c>
      <c r="E722" s="116">
        <v>2300.0</v>
      </c>
      <c r="F722" s="116">
        <f t="shared" ref="F722:F730" si="105">D722*E722</f>
        <v>13800</v>
      </c>
      <c r="G722" s="116">
        <f>(756/17)*6</f>
        <v>266.8235294</v>
      </c>
      <c r="H722" s="117"/>
      <c r="I722" s="117"/>
      <c r="J722" s="118">
        <f t="shared" ref="J722:J730" si="106">F722+G722+H722+I722</f>
        <v>14066.82353</v>
      </c>
      <c r="K722" s="13"/>
      <c r="L722" s="5"/>
      <c r="O722" s="6"/>
      <c r="Q722" s="6"/>
    </row>
    <row r="723">
      <c r="A723" s="119">
        <v>46263.0</v>
      </c>
      <c r="B723" s="112" t="s">
        <v>11</v>
      </c>
      <c r="C723" s="112" t="s">
        <v>125</v>
      </c>
      <c r="D723" s="114">
        <v>35.0</v>
      </c>
      <c r="E723" s="120">
        <v>2380.0</v>
      </c>
      <c r="F723" s="116">
        <f t="shared" si="105"/>
        <v>83300</v>
      </c>
      <c r="G723" s="117"/>
      <c r="H723" s="116">
        <f>300</f>
        <v>300</v>
      </c>
      <c r="I723" s="117"/>
      <c r="J723" s="118">
        <f t="shared" si="106"/>
        <v>83600</v>
      </c>
      <c r="K723" s="13"/>
      <c r="L723" s="5"/>
      <c r="O723" s="6"/>
      <c r="Q723" s="6"/>
    </row>
    <row r="724">
      <c r="A724" s="111"/>
      <c r="B724" s="112"/>
      <c r="C724" s="112"/>
      <c r="D724" s="121"/>
      <c r="E724" s="122"/>
      <c r="F724" s="116">
        <f t="shared" si="105"/>
        <v>0</v>
      </c>
      <c r="G724" s="117"/>
      <c r="H724" s="117"/>
      <c r="I724" s="117"/>
      <c r="J724" s="118">
        <f t="shared" si="106"/>
        <v>0</v>
      </c>
      <c r="K724" s="13"/>
      <c r="L724" s="5"/>
      <c r="O724" s="6"/>
      <c r="Q724" s="6"/>
    </row>
    <row r="725">
      <c r="A725" s="111"/>
      <c r="B725" s="112"/>
      <c r="C725" s="112"/>
      <c r="D725" s="121"/>
      <c r="E725" s="122"/>
      <c r="F725" s="116">
        <f t="shared" si="105"/>
        <v>0</v>
      </c>
      <c r="G725" s="117"/>
      <c r="H725" s="117"/>
      <c r="I725" s="117"/>
      <c r="J725" s="118">
        <f t="shared" si="106"/>
        <v>0</v>
      </c>
      <c r="K725" s="13"/>
      <c r="L725" s="5"/>
      <c r="O725" s="6"/>
      <c r="Q725" s="6"/>
    </row>
    <row r="726">
      <c r="A726" s="111"/>
      <c r="B726" s="112"/>
      <c r="C726" s="112"/>
      <c r="D726" s="121"/>
      <c r="E726" s="122"/>
      <c r="F726" s="116">
        <f t="shared" si="105"/>
        <v>0</v>
      </c>
      <c r="G726" s="117"/>
      <c r="H726" s="117"/>
      <c r="I726" s="117"/>
      <c r="J726" s="118">
        <f t="shared" si="106"/>
        <v>0</v>
      </c>
      <c r="K726" s="13"/>
      <c r="L726" s="5"/>
      <c r="O726" s="6"/>
      <c r="Q726" s="6"/>
    </row>
    <row r="727">
      <c r="A727" s="111"/>
      <c r="B727" s="112"/>
      <c r="C727" s="112"/>
      <c r="D727" s="121"/>
      <c r="E727" s="122"/>
      <c r="F727" s="116">
        <f t="shared" si="105"/>
        <v>0</v>
      </c>
      <c r="G727" s="117"/>
      <c r="H727" s="117"/>
      <c r="I727" s="117"/>
      <c r="J727" s="118">
        <f t="shared" si="106"/>
        <v>0</v>
      </c>
      <c r="K727" s="13"/>
      <c r="L727" s="5"/>
      <c r="O727" s="6"/>
      <c r="Q727" s="6"/>
    </row>
    <row r="728">
      <c r="A728" s="111"/>
      <c r="B728" s="112"/>
      <c r="C728" s="112"/>
      <c r="D728" s="121"/>
      <c r="E728" s="122"/>
      <c r="F728" s="116">
        <f t="shared" si="105"/>
        <v>0</v>
      </c>
      <c r="G728" s="117"/>
      <c r="H728" s="117"/>
      <c r="I728" s="117"/>
      <c r="J728" s="118">
        <f t="shared" si="106"/>
        <v>0</v>
      </c>
      <c r="K728" s="13"/>
      <c r="L728" s="5"/>
      <c r="O728" s="6"/>
      <c r="Q728" s="6"/>
    </row>
    <row r="729">
      <c r="A729" s="111"/>
      <c r="B729" s="112"/>
      <c r="C729" s="112"/>
      <c r="D729" s="121"/>
      <c r="E729" s="122"/>
      <c r="F729" s="116">
        <f t="shared" si="105"/>
        <v>0</v>
      </c>
      <c r="G729" s="117"/>
      <c r="H729" s="117"/>
      <c r="I729" s="117"/>
      <c r="J729" s="118">
        <f t="shared" si="106"/>
        <v>0</v>
      </c>
      <c r="K729" s="13"/>
      <c r="L729" s="5"/>
      <c r="O729" s="6"/>
      <c r="Q729" s="6"/>
    </row>
    <row r="730">
      <c r="A730" s="111"/>
      <c r="B730" s="112"/>
      <c r="C730" s="112"/>
      <c r="D730" s="121"/>
      <c r="E730" s="122"/>
      <c r="F730" s="116">
        <f t="shared" si="105"/>
        <v>0</v>
      </c>
      <c r="G730" s="117"/>
      <c r="H730" s="117"/>
      <c r="I730" s="117"/>
      <c r="J730" s="118">
        <f t="shared" si="106"/>
        <v>0</v>
      </c>
      <c r="K730" s="13"/>
      <c r="L730" s="5"/>
      <c r="O730" s="6"/>
      <c r="Q730" s="6"/>
    </row>
    <row r="731">
      <c r="A731" s="111"/>
      <c r="B731" s="112"/>
      <c r="C731" s="112"/>
      <c r="D731" s="121"/>
      <c r="E731" s="122"/>
      <c r="F731" s="117"/>
      <c r="G731" s="117"/>
      <c r="H731" s="117"/>
      <c r="I731" s="117"/>
      <c r="J731" s="123"/>
      <c r="K731" s="13"/>
      <c r="L731" s="5"/>
      <c r="O731" s="6"/>
      <c r="Q731" s="6"/>
    </row>
    <row r="732">
      <c r="A732" s="124"/>
      <c r="B732" s="112"/>
      <c r="C732" s="125" t="s">
        <v>14</v>
      </c>
      <c r="D732" s="126">
        <f>SUM(D722:D731)</f>
        <v>41</v>
      </c>
      <c r="E732" s="117"/>
      <c r="F732" s="117"/>
      <c r="G732" s="117"/>
      <c r="H732" s="127" t="s">
        <v>15</v>
      </c>
      <c r="I732" s="24"/>
      <c r="J732" s="128">
        <f>SUM(J722:J731)</f>
        <v>97666.82353</v>
      </c>
      <c r="K732" s="13"/>
      <c r="L732" s="5"/>
      <c r="O732" s="6"/>
      <c r="Q732" s="6"/>
    </row>
    <row r="733">
      <c r="A733" s="124"/>
      <c r="B733" s="112"/>
      <c r="C733" s="112"/>
      <c r="D733" s="121"/>
      <c r="E733" s="117"/>
      <c r="F733" s="117"/>
      <c r="G733" s="117"/>
      <c r="H733" s="127" t="s">
        <v>16</v>
      </c>
      <c r="I733" s="24"/>
      <c r="J733" s="129">
        <f>J732/D732</f>
        <v>2382.117647</v>
      </c>
      <c r="K733" s="13"/>
      <c r="L733" s="5"/>
      <c r="O733" s="6"/>
      <c r="Q733" s="6"/>
    </row>
    <row r="734">
      <c r="A734" s="124"/>
      <c r="B734" s="112"/>
      <c r="C734" s="112"/>
      <c r="D734" s="121"/>
      <c r="E734" s="117"/>
      <c r="F734" s="117"/>
      <c r="G734" s="117"/>
      <c r="H734" s="117"/>
      <c r="I734" s="117"/>
      <c r="J734" s="123"/>
      <c r="K734" s="13"/>
      <c r="L734" s="5"/>
      <c r="O734" s="6"/>
      <c r="Q734" s="6"/>
    </row>
    <row r="735">
      <c r="A735" s="124"/>
      <c r="B735" s="112"/>
      <c r="C735" s="112"/>
      <c r="D735" s="121"/>
      <c r="E735" s="117"/>
      <c r="F735" s="117"/>
      <c r="G735" s="117"/>
      <c r="H735" s="117"/>
      <c r="I735" s="117"/>
      <c r="J735" s="123"/>
      <c r="K735" s="13"/>
      <c r="L735" s="5"/>
      <c r="O735" s="6"/>
      <c r="Q735" s="6"/>
    </row>
    <row r="736">
      <c r="A736" s="124"/>
      <c r="B736" s="112"/>
      <c r="C736" s="112"/>
      <c r="D736" s="121"/>
      <c r="E736" s="117"/>
      <c r="F736" s="130" t="str">
        <f>CONCATENATE("Temos ",D732," cabeças, custando: ",TEXT(J733, "R$#.###,##"))</f>
        <v>Temos 41 cabeças, custando: R$2.382,11765</v>
      </c>
      <c r="J736" s="29"/>
      <c r="K736" s="13"/>
      <c r="L736" s="5"/>
      <c r="O736" s="6"/>
      <c r="Q736" s="6"/>
    </row>
    <row r="737">
      <c r="A737" s="131" t="s">
        <v>1</v>
      </c>
      <c r="B737" s="132" t="s">
        <v>2</v>
      </c>
      <c r="C737" s="132" t="s">
        <v>3</v>
      </c>
      <c r="D737" s="133" t="s">
        <v>4</v>
      </c>
      <c r="E737" s="134" t="s">
        <v>5</v>
      </c>
      <c r="F737" s="134" t="s">
        <v>6</v>
      </c>
      <c r="G737" s="134" t="s">
        <v>7</v>
      </c>
      <c r="H737" s="134" t="s">
        <v>8</v>
      </c>
      <c r="I737" s="134" t="s">
        <v>17</v>
      </c>
      <c r="J737" s="135" t="s">
        <v>10</v>
      </c>
      <c r="K737" s="13"/>
      <c r="L737" s="5"/>
      <c r="O737" s="6"/>
      <c r="Q737" s="6"/>
    </row>
    <row r="738">
      <c r="A738" s="119">
        <v>46263.0</v>
      </c>
      <c r="B738" s="112" t="s">
        <v>20</v>
      </c>
      <c r="C738" s="112" t="s">
        <v>112</v>
      </c>
      <c r="D738" s="136">
        <v>6.0</v>
      </c>
      <c r="E738" s="157">
        <v>2450.0</v>
      </c>
      <c r="F738" s="116">
        <f t="shared" ref="F738:F741" si="107">D738*E738</f>
        <v>14700</v>
      </c>
      <c r="G738" s="117"/>
      <c r="H738" s="117"/>
      <c r="I738" s="138">
        <f t="shared" ref="I738:I740" si="108">D738*-4.85</f>
        <v>-29.1</v>
      </c>
      <c r="J738" s="118">
        <f t="shared" ref="J738:J741" si="109">F738+G738+H738+I738</f>
        <v>14670.9</v>
      </c>
      <c r="K738" s="13"/>
      <c r="L738" s="5"/>
      <c r="O738" s="6"/>
      <c r="Q738" s="6"/>
    </row>
    <row r="739">
      <c r="A739" s="119">
        <v>46263.0</v>
      </c>
      <c r="B739" s="112" t="s">
        <v>20</v>
      </c>
      <c r="C739" s="112" t="s">
        <v>112</v>
      </c>
      <c r="D739" s="136">
        <v>35.0</v>
      </c>
      <c r="E739" s="137">
        <v>2500.0</v>
      </c>
      <c r="F739" s="116">
        <f t="shared" si="107"/>
        <v>87500</v>
      </c>
      <c r="G739" s="117"/>
      <c r="H739" s="117"/>
      <c r="I739" s="138">
        <f t="shared" si="108"/>
        <v>-169.75</v>
      </c>
      <c r="J739" s="118">
        <f t="shared" si="109"/>
        <v>87330.25</v>
      </c>
      <c r="K739" s="13"/>
      <c r="L739" s="5"/>
      <c r="O739" s="6"/>
      <c r="Q739" s="6"/>
    </row>
    <row r="740">
      <c r="A740" s="111"/>
      <c r="B740" s="112"/>
      <c r="C740" s="112"/>
      <c r="D740" s="121"/>
      <c r="E740" s="117"/>
      <c r="F740" s="116">
        <f t="shared" si="107"/>
        <v>0</v>
      </c>
      <c r="G740" s="117"/>
      <c r="H740" s="117"/>
      <c r="I740" s="138">
        <f t="shared" si="108"/>
        <v>0</v>
      </c>
      <c r="J740" s="118">
        <f t="shared" si="109"/>
        <v>0</v>
      </c>
      <c r="K740" s="13"/>
      <c r="L740" s="5"/>
      <c r="O740" s="6"/>
      <c r="Q740" s="6"/>
    </row>
    <row r="741">
      <c r="A741" s="111"/>
      <c r="B741" s="112"/>
      <c r="C741" s="112"/>
      <c r="D741" s="121"/>
      <c r="E741" s="117"/>
      <c r="F741" s="116">
        <f t="shared" si="107"/>
        <v>0</v>
      </c>
      <c r="G741" s="117"/>
      <c r="H741" s="117"/>
      <c r="I741" s="117"/>
      <c r="J741" s="118">
        <f t="shared" si="109"/>
        <v>0</v>
      </c>
      <c r="K741" s="13"/>
      <c r="L741" s="5"/>
      <c r="O741" s="6"/>
      <c r="Q741" s="6"/>
    </row>
    <row r="742">
      <c r="A742" s="111"/>
      <c r="B742" s="112"/>
      <c r="C742" s="112"/>
      <c r="D742" s="121"/>
      <c r="E742" s="117"/>
      <c r="F742" s="117"/>
      <c r="G742" s="117"/>
      <c r="H742" s="117"/>
      <c r="I742" s="117"/>
      <c r="J742" s="123"/>
      <c r="K742" s="13"/>
      <c r="L742" s="5"/>
      <c r="O742" s="6"/>
      <c r="Q742" s="6"/>
    </row>
    <row r="743">
      <c r="A743" s="124"/>
      <c r="B743" s="112"/>
      <c r="C743" s="139" t="s">
        <v>14</v>
      </c>
      <c r="D743" s="126">
        <f>SUM(D738:D742)</f>
        <v>41</v>
      </c>
      <c r="E743" s="117"/>
      <c r="F743" s="117"/>
      <c r="G743" s="117"/>
      <c r="H743" s="140" t="s">
        <v>10</v>
      </c>
      <c r="I743" s="24"/>
      <c r="J743" s="128">
        <f>SUM(J738:J742)</f>
        <v>102001.15</v>
      </c>
      <c r="K743" s="13"/>
      <c r="L743" s="5"/>
      <c r="O743" s="6"/>
      <c r="Q743" s="6"/>
    </row>
    <row r="744">
      <c r="A744" s="124"/>
      <c r="B744" s="112"/>
      <c r="C744" s="112"/>
      <c r="D744" s="121"/>
      <c r="E744" s="117"/>
      <c r="F744" s="117"/>
      <c r="G744" s="117"/>
      <c r="H744" s="140" t="s">
        <v>16</v>
      </c>
      <c r="I744" s="24"/>
      <c r="J744" s="129">
        <f>J743/D743</f>
        <v>2487.832927</v>
      </c>
      <c r="K744" s="13"/>
      <c r="L744" s="5"/>
      <c r="O744" s="6"/>
      <c r="Q744" s="6"/>
    </row>
    <row r="745">
      <c r="A745" s="124"/>
      <c r="B745" s="112"/>
      <c r="C745" s="112"/>
      <c r="D745" s="121"/>
      <c r="E745" s="117"/>
      <c r="F745" s="117"/>
      <c r="G745" s="117"/>
      <c r="H745" s="117"/>
      <c r="I745" s="117"/>
      <c r="J745" s="123"/>
      <c r="K745" s="13"/>
      <c r="L745" s="5"/>
      <c r="O745" s="6"/>
      <c r="Q745" s="6"/>
    </row>
    <row r="746">
      <c r="A746" s="124"/>
      <c r="B746" s="112"/>
      <c r="C746" s="112"/>
      <c r="D746" s="121"/>
      <c r="E746" s="117"/>
      <c r="F746" s="117"/>
      <c r="G746" s="117"/>
      <c r="H746" s="140" t="s">
        <v>23</v>
      </c>
      <c r="I746" s="24"/>
      <c r="J746" s="128">
        <f>J743-J732</f>
        <v>4334.326471</v>
      </c>
      <c r="K746" s="13"/>
      <c r="L746" s="5"/>
      <c r="O746" s="6"/>
      <c r="Q746" s="6"/>
    </row>
    <row r="747">
      <c r="A747" s="124"/>
      <c r="B747" s="112"/>
      <c r="C747" s="112"/>
      <c r="D747" s="121"/>
      <c r="E747" s="117"/>
      <c r="F747" s="117"/>
      <c r="G747" s="117"/>
      <c r="H747" s="117"/>
      <c r="I747" s="117"/>
      <c r="J747" s="123"/>
      <c r="K747" s="13"/>
      <c r="L747" s="5"/>
      <c r="O747" s="6"/>
      <c r="Q747" s="6"/>
    </row>
    <row r="748">
      <c r="A748" s="124"/>
      <c r="B748" s="112"/>
      <c r="C748" s="141" t="s">
        <v>22</v>
      </c>
      <c r="D748" s="114">
        <f>D732-D743</f>
        <v>0</v>
      </c>
      <c r="E748" s="117"/>
      <c r="F748" s="117"/>
      <c r="G748" s="117"/>
      <c r="H748" s="142" t="s">
        <v>24</v>
      </c>
      <c r="I748" s="24"/>
      <c r="J748" s="143" t="str">
        <f>J746/D748</f>
        <v>#DIV/0!</v>
      </c>
      <c r="K748" s="13"/>
      <c r="L748" s="5"/>
      <c r="O748" s="6"/>
      <c r="Q748" s="6"/>
    </row>
    <row r="749">
      <c r="A749" s="124"/>
      <c r="B749" s="112"/>
      <c r="C749" s="112"/>
      <c r="D749" s="121"/>
      <c r="E749" s="117"/>
      <c r="F749" s="117"/>
      <c r="G749" s="117"/>
      <c r="H749" s="144" t="s">
        <v>25</v>
      </c>
      <c r="I749" s="24"/>
      <c r="J749" s="118">
        <f>J746/D743</f>
        <v>105.7152798</v>
      </c>
      <c r="K749" s="13"/>
      <c r="L749" s="5"/>
      <c r="O749" s="6"/>
      <c r="Q749" s="6"/>
    </row>
    <row r="750">
      <c r="A750" s="124"/>
      <c r="B750" s="112"/>
      <c r="C750" s="112"/>
      <c r="D750" s="121"/>
      <c r="E750" s="117"/>
      <c r="F750" s="117"/>
      <c r="G750" s="117"/>
      <c r="H750" s="112"/>
      <c r="I750" s="112"/>
      <c r="J750" s="123"/>
      <c r="K750" s="13"/>
      <c r="L750" s="5"/>
      <c r="O750" s="6"/>
      <c r="Q750" s="6"/>
    </row>
    <row r="751">
      <c r="A751" s="124"/>
      <c r="B751" s="112"/>
      <c r="C751" s="112"/>
      <c r="D751" s="121"/>
      <c r="E751" s="117"/>
      <c r="F751" s="145"/>
      <c r="G751" s="66"/>
      <c r="H751" s="66"/>
      <c r="I751" s="67"/>
      <c r="J751" s="146"/>
      <c r="K751" s="13"/>
      <c r="L751" s="5"/>
      <c r="O751" s="6"/>
      <c r="Q751" s="6"/>
    </row>
    <row r="752">
      <c r="A752" s="124"/>
      <c r="B752" s="112"/>
      <c r="C752" s="112"/>
      <c r="D752" s="121"/>
      <c r="E752" s="117"/>
      <c r="F752" s="147"/>
      <c r="G752" s="66"/>
      <c r="H752" s="66"/>
      <c r="I752" s="67"/>
      <c r="J752" s="146"/>
      <c r="K752" s="13"/>
      <c r="L752" s="5"/>
      <c r="O752" s="6"/>
      <c r="Q752" s="6"/>
    </row>
    <row r="753">
      <c r="A753" s="124"/>
      <c r="B753" s="112"/>
      <c r="C753" s="112"/>
      <c r="D753" s="121"/>
      <c r="E753" s="117"/>
      <c r="F753" s="148"/>
      <c r="G753" s="148"/>
      <c r="H753" s="140" t="s">
        <v>36</v>
      </c>
      <c r="I753" s="24"/>
      <c r="J753" s="128">
        <f>J746+J751+J752</f>
        <v>4334.326471</v>
      </c>
      <c r="K753" s="13"/>
      <c r="L753" s="5"/>
      <c r="O753" s="6"/>
      <c r="Q753" s="6"/>
    </row>
    <row r="754">
      <c r="A754" s="124"/>
      <c r="B754" s="112"/>
      <c r="C754" s="149" t="str">
        <f>IFERROR("Não sobrou",CONCATENATE("Parceria Mauro -&gt; Sobrou ",#REF!," cabeças, custando: ",TEXT(#REF!, "R$#,##")))</f>
        <v>Não sobrou</v>
      </c>
      <c r="J754" s="29"/>
      <c r="K754" s="13"/>
      <c r="L754" s="5"/>
      <c r="O754" s="6"/>
      <c r="Q754" s="6"/>
    </row>
    <row r="755">
      <c r="A755" s="124"/>
      <c r="B755" s="112"/>
      <c r="C755" s="112"/>
      <c r="D755" s="112"/>
      <c r="E755" s="112"/>
      <c r="F755" s="112"/>
      <c r="G755" s="112"/>
      <c r="H755" s="112"/>
      <c r="I755" s="112"/>
      <c r="J755" s="150"/>
      <c r="K755" s="13"/>
      <c r="L755" s="5"/>
      <c r="O755" s="6"/>
      <c r="Q755" s="6"/>
    </row>
    <row r="756">
      <c r="A756" s="151"/>
      <c r="B756" s="152"/>
      <c r="C756" s="153" t="str">
        <f>IF(J753&gt;0,CONCATENATE("Total de Lucro Parceria -&gt;: ",TEXT(J753, "R$#.##0,00")),"Não houve lucro")</f>
        <v>Total de Lucro Parceria -&gt;: R$4.334,32647</v>
      </c>
      <c r="D756" s="62"/>
      <c r="E756" s="62"/>
      <c r="F756" s="62"/>
      <c r="G756" s="62"/>
      <c r="H756" s="62"/>
      <c r="I756" s="62"/>
      <c r="J756" s="63"/>
      <c r="K756" s="13"/>
      <c r="L756" s="5"/>
      <c r="O756" s="6"/>
      <c r="Q756" s="6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5"/>
      <c r="O757" s="6"/>
      <c r="Q757" s="6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5"/>
      <c r="O758" s="6"/>
      <c r="Q758" s="6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5"/>
      <c r="O759" s="6"/>
      <c r="Q759" s="6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5"/>
      <c r="O760" s="6"/>
      <c r="Q760" s="6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5"/>
      <c r="O761" s="6"/>
      <c r="Q761" s="6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5"/>
      <c r="O762" s="6"/>
      <c r="Q762" s="6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5"/>
      <c r="O763" s="6"/>
      <c r="Q763" s="6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5"/>
      <c r="O764" s="6"/>
      <c r="Q764" s="6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5"/>
      <c r="O765" s="6"/>
      <c r="Q765" s="6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5"/>
      <c r="O766" s="6"/>
      <c r="Q766" s="6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5"/>
      <c r="O767" s="6"/>
      <c r="Q767" s="6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5"/>
      <c r="O768" s="6"/>
      <c r="Q768" s="6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5"/>
      <c r="O769" s="6"/>
      <c r="Q769" s="6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5"/>
      <c r="O770" s="6"/>
      <c r="Q770" s="6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5"/>
      <c r="O771" s="6"/>
      <c r="Q771" s="6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5"/>
      <c r="O772" s="6"/>
      <c r="Q772" s="6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5"/>
      <c r="O773" s="6"/>
      <c r="Q773" s="6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5"/>
      <c r="O774" s="6"/>
      <c r="Q774" s="6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5"/>
      <c r="O775" s="6"/>
      <c r="Q775" s="6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5"/>
      <c r="O776" s="6"/>
      <c r="Q776" s="6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5"/>
      <c r="O777" s="6"/>
      <c r="Q777" s="6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5"/>
      <c r="O778" s="6"/>
      <c r="Q778" s="6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5"/>
      <c r="O779" s="6"/>
      <c r="Q779" s="6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5"/>
      <c r="O780" s="6"/>
      <c r="Q780" s="6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5"/>
      <c r="O781" s="6"/>
      <c r="Q781" s="6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5"/>
      <c r="O782" s="6"/>
      <c r="Q782" s="6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5"/>
      <c r="O783" s="6"/>
      <c r="Q783" s="6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5"/>
      <c r="O784" s="6"/>
      <c r="Q784" s="6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5"/>
      <c r="O785" s="6"/>
      <c r="Q785" s="6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5"/>
      <c r="O786" s="6"/>
      <c r="Q786" s="6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5"/>
      <c r="O787" s="6"/>
      <c r="Q787" s="6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5"/>
      <c r="O788" s="6"/>
      <c r="Q788" s="6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5"/>
      <c r="O789" s="6"/>
      <c r="Q789" s="6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5"/>
      <c r="O790" s="6"/>
      <c r="Q790" s="6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5"/>
      <c r="O791" s="6"/>
      <c r="Q791" s="6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5"/>
      <c r="O792" s="6"/>
      <c r="Q792" s="6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5"/>
      <c r="O793" s="6"/>
      <c r="Q793" s="6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5"/>
      <c r="O794" s="6"/>
      <c r="Q794" s="6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5"/>
      <c r="O795" s="6"/>
      <c r="Q795" s="6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5"/>
      <c r="O796" s="6"/>
      <c r="Q796" s="6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5"/>
      <c r="O797" s="6"/>
      <c r="Q797" s="6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5"/>
      <c r="O798" s="6"/>
      <c r="Q798" s="6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5"/>
      <c r="O799" s="6"/>
      <c r="Q799" s="6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5"/>
      <c r="O800" s="6"/>
      <c r="Q800" s="6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5"/>
      <c r="O801" s="6"/>
      <c r="Q801" s="6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5"/>
      <c r="O802" s="6"/>
      <c r="Q802" s="6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5"/>
      <c r="O803" s="6"/>
      <c r="Q803" s="6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5"/>
      <c r="O804" s="6"/>
      <c r="Q804" s="6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5"/>
      <c r="O805" s="6"/>
      <c r="Q805" s="6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5"/>
      <c r="O806" s="6"/>
      <c r="Q806" s="6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5"/>
      <c r="O807" s="6"/>
      <c r="Q807" s="6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5"/>
      <c r="O808" s="6"/>
      <c r="Q808" s="6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5"/>
      <c r="O809" s="6"/>
      <c r="Q809" s="6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5"/>
      <c r="O810" s="6"/>
      <c r="Q810" s="6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5"/>
      <c r="O811" s="6"/>
      <c r="Q811" s="6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5"/>
      <c r="O812" s="6"/>
      <c r="Q812" s="6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5"/>
      <c r="O813" s="6"/>
      <c r="Q813" s="6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5"/>
      <c r="O814" s="6"/>
      <c r="Q814" s="6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5"/>
      <c r="O815" s="6"/>
      <c r="Q815" s="6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5"/>
      <c r="O816" s="6"/>
      <c r="Q816" s="6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5"/>
      <c r="O817" s="6"/>
      <c r="Q817" s="6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5"/>
      <c r="O818" s="6"/>
      <c r="Q818" s="6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5"/>
      <c r="O819" s="6"/>
      <c r="Q819" s="6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5"/>
      <c r="O820" s="6"/>
      <c r="Q820" s="6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5"/>
      <c r="O821" s="6"/>
      <c r="Q821" s="6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5"/>
      <c r="O822" s="6"/>
      <c r="Q822" s="6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5"/>
      <c r="O823" s="6"/>
      <c r="Q823" s="6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5"/>
      <c r="O824" s="6"/>
      <c r="Q824" s="6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5"/>
      <c r="O825" s="6"/>
      <c r="Q825" s="6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5"/>
      <c r="O826" s="6"/>
      <c r="Q826" s="6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5"/>
      <c r="O827" s="6"/>
      <c r="Q827" s="6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5"/>
      <c r="O828" s="6"/>
      <c r="Q828" s="6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5"/>
      <c r="O829" s="6"/>
      <c r="Q829" s="6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5"/>
      <c r="O830" s="6"/>
      <c r="Q830" s="6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5"/>
      <c r="O831" s="6"/>
      <c r="Q831" s="6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5"/>
      <c r="O832" s="6"/>
      <c r="Q832" s="6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5"/>
      <c r="O833" s="6"/>
      <c r="Q833" s="6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5"/>
      <c r="O834" s="6"/>
      <c r="Q834" s="6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5"/>
      <c r="O835" s="6"/>
      <c r="Q835" s="6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5"/>
      <c r="O836" s="6"/>
      <c r="Q836" s="6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5"/>
      <c r="O837" s="6"/>
      <c r="Q837" s="6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5"/>
      <c r="O838" s="6"/>
      <c r="Q838" s="6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5"/>
      <c r="O839" s="6"/>
      <c r="Q839" s="6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5"/>
      <c r="O840" s="6"/>
      <c r="Q840" s="6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5"/>
      <c r="O841" s="6"/>
      <c r="Q841" s="6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5"/>
      <c r="O842" s="6"/>
      <c r="Q842" s="6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5"/>
      <c r="O843" s="6"/>
      <c r="Q843" s="6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5"/>
      <c r="O844" s="6"/>
      <c r="Q844" s="6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5"/>
      <c r="O845" s="6"/>
      <c r="Q845" s="6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5"/>
      <c r="O846" s="6"/>
      <c r="Q846" s="6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5"/>
      <c r="O847" s="6"/>
      <c r="Q847" s="6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5"/>
      <c r="O848" s="6"/>
      <c r="Q848" s="6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5"/>
      <c r="O849" s="6"/>
      <c r="Q849" s="6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5"/>
      <c r="O850" s="6"/>
      <c r="Q850" s="6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5"/>
      <c r="O851" s="6"/>
      <c r="Q851" s="6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5"/>
      <c r="O852" s="6"/>
      <c r="Q852" s="6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5"/>
      <c r="O853" s="6"/>
      <c r="Q853" s="6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5"/>
      <c r="O854" s="6"/>
      <c r="Q854" s="6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5"/>
      <c r="O855" s="6"/>
      <c r="Q855" s="6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5"/>
      <c r="O856" s="6"/>
      <c r="Q856" s="6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5"/>
      <c r="O857" s="6"/>
      <c r="Q857" s="6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5"/>
      <c r="O858" s="6"/>
      <c r="Q858" s="6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5"/>
      <c r="O859" s="6"/>
      <c r="Q859" s="6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5"/>
      <c r="O860" s="6"/>
      <c r="Q860" s="6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5"/>
      <c r="O861" s="6"/>
      <c r="Q861" s="6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5"/>
      <c r="O862" s="6"/>
      <c r="Q862" s="6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5"/>
      <c r="O863" s="6"/>
      <c r="Q863" s="6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5"/>
      <c r="O864" s="6"/>
      <c r="Q864" s="6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5"/>
      <c r="O865" s="6"/>
      <c r="Q865" s="6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5"/>
      <c r="O866" s="6"/>
      <c r="Q866" s="6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5"/>
      <c r="O867" s="6"/>
      <c r="Q867" s="6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5"/>
      <c r="O868" s="6"/>
      <c r="Q868" s="6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5"/>
      <c r="O869" s="6"/>
      <c r="Q869" s="6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5"/>
      <c r="O870" s="6"/>
      <c r="Q870" s="6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5"/>
      <c r="O871" s="6"/>
      <c r="Q871" s="6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5"/>
      <c r="O872" s="6"/>
      <c r="Q872" s="6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5"/>
      <c r="O873" s="6"/>
      <c r="Q873" s="6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5"/>
      <c r="O874" s="6"/>
      <c r="Q874" s="6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5"/>
      <c r="O875" s="6"/>
      <c r="Q875" s="6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5"/>
      <c r="O876" s="6"/>
      <c r="Q876" s="6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5"/>
      <c r="O877" s="6"/>
      <c r="Q877" s="6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5"/>
      <c r="O878" s="6"/>
      <c r="Q878" s="6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5"/>
      <c r="O879" s="6"/>
      <c r="Q879" s="6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5"/>
      <c r="O880" s="6"/>
      <c r="Q880" s="6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5"/>
      <c r="O881" s="6"/>
      <c r="Q881" s="6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5"/>
      <c r="O882" s="6"/>
      <c r="Q882" s="6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5"/>
      <c r="O883" s="6"/>
      <c r="Q883" s="6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5"/>
      <c r="O884" s="6"/>
      <c r="Q884" s="6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5"/>
      <c r="O885" s="6"/>
      <c r="Q885" s="6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5"/>
      <c r="O886" s="6"/>
      <c r="Q886" s="6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5"/>
      <c r="O887" s="6"/>
      <c r="Q887" s="6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5"/>
      <c r="O888" s="6"/>
      <c r="Q888" s="6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5"/>
      <c r="O889" s="6"/>
      <c r="Q889" s="6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5"/>
      <c r="O890" s="6"/>
      <c r="Q890" s="6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5"/>
      <c r="O891" s="6"/>
      <c r="Q891" s="6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5"/>
      <c r="O892" s="6"/>
      <c r="Q892" s="6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5"/>
      <c r="O893" s="6"/>
      <c r="Q893" s="6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5"/>
      <c r="O894" s="6"/>
      <c r="Q894" s="6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5"/>
      <c r="O895" s="6"/>
      <c r="Q895" s="6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5"/>
      <c r="O896" s="6"/>
      <c r="Q896" s="6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5"/>
      <c r="O897" s="6"/>
      <c r="Q897" s="6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5"/>
      <c r="O898" s="6"/>
      <c r="Q898" s="6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5"/>
      <c r="O899" s="6"/>
      <c r="Q899" s="6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5"/>
      <c r="O900" s="6"/>
      <c r="Q900" s="6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5"/>
      <c r="O901" s="6"/>
      <c r="Q901" s="6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5"/>
      <c r="O902" s="6"/>
      <c r="Q902" s="6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5"/>
      <c r="O903" s="6"/>
      <c r="Q903" s="6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5"/>
      <c r="O904" s="6"/>
      <c r="Q904" s="6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5"/>
      <c r="O905" s="6"/>
      <c r="Q905" s="6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5"/>
      <c r="O906" s="6"/>
      <c r="Q906" s="6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5"/>
      <c r="O907" s="6"/>
      <c r="Q907" s="6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5"/>
      <c r="O908" s="6"/>
      <c r="Q908" s="6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5"/>
      <c r="O909" s="6"/>
      <c r="Q909" s="6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5"/>
      <c r="O910" s="6"/>
      <c r="Q910" s="6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5"/>
      <c r="O911" s="6"/>
      <c r="Q911" s="6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5"/>
      <c r="O912" s="6"/>
      <c r="Q912" s="6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5"/>
      <c r="O913" s="6"/>
      <c r="Q913" s="6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5"/>
      <c r="O914" s="6"/>
      <c r="Q914" s="6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5"/>
      <c r="O915" s="6"/>
      <c r="Q915" s="6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5"/>
      <c r="O916" s="6"/>
      <c r="Q916" s="6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5"/>
      <c r="O917" s="6"/>
      <c r="Q917" s="6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5"/>
      <c r="O918" s="6"/>
      <c r="Q918" s="6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5"/>
      <c r="O919" s="6"/>
      <c r="Q919" s="6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5"/>
      <c r="O920" s="6"/>
      <c r="Q920" s="6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5"/>
      <c r="O921" s="6"/>
      <c r="Q921" s="6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5"/>
      <c r="O922" s="6"/>
      <c r="Q922" s="6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5"/>
      <c r="O923" s="6"/>
      <c r="Q923" s="6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5"/>
      <c r="O924" s="6"/>
      <c r="Q924" s="6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5"/>
      <c r="O925" s="6"/>
      <c r="Q925" s="6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5"/>
      <c r="O926" s="6"/>
      <c r="Q926" s="6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5"/>
      <c r="O927" s="6"/>
      <c r="Q927" s="6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5"/>
      <c r="O928" s="6"/>
      <c r="Q928" s="6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5"/>
      <c r="O929" s="6"/>
      <c r="Q929" s="6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5"/>
      <c r="O930" s="6"/>
      <c r="Q930" s="6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5"/>
      <c r="O931" s="6"/>
      <c r="Q931" s="6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5"/>
      <c r="O932" s="6"/>
      <c r="Q932" s="6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5"/>
      <c r="O933" s="6"/>
      <c r="Q933" s="6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5"/>
      <c r="O934" s="6"/>
      <c r="Q934" s="6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5"/>
      <c r="O935" s="6"/>
      <c r="Q935" s="6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5"/>
      <c r="O936" s="6"/>
      <c r="Q936" s="6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5"/>
      <c r="O937" s="6"/>
      <c r="Q937" s="6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5"/>
      <c r="O938" s="6"/>
      <c r="Q938" s="6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5"/>
      <c r="O939" s="6"/>
      <c r="Q939" s="6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5"/>
      <c r="O940" s="6"/>
      <c r="Q940" s="6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5"/>
      <c r="O941" s="6"/>
      <c r="Q941" s="6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5"/>
      <c r="O942" s="6"/>
      <c r="Q942" s="6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5"/>
      <c r="O943" s="6"/>
      <c r="Q943" s="6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5"/>
      <c r="O944" s="6"/>
      <c r="Q944" s="6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5"/>
      <c r="O945" s="6"/>
      <c r="Q945" s="6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5"/>
      <c r="O946" s="6"/>
      <c r="Q946" s="6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5"/>
      <c r="O947" s="6"/>
      <c r="Q947" s="6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5"/>
      <c r="O948" s="6"/>
      <c r="Q948" s="6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5"/>
      <c r="O949" s="6"/>
      <c r="Q949" s="6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5"/>
      <c r="O950" s="6"/>
      <c r="Q950" s="6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5"/>
      <c r="O951" s="6"/>
      <c r="Q951" s="6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5"/>
      <c r="O952" s="6"/>
      <c r="Q952" s="6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5"/>
      <c r="O953" s="6"/>
      <c r="Q953" s="6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5"/>
      <c r="O954" s="6"/>
      <c r="Q954" s="6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5"/>
      <c r="O955" s="6"/>
      <c r="Q955" s="6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5"/>
      <c r="O956" s="6"/>
      <c r="Q956" s="6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5"/>
      <c r="O957" s="6"/>
      <c r="Q957" s="6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5"/>
      <c r="O958" s="6"/>
      <c r="Q958" s="6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5"/>
      <c r="O959" s="6"/>
      <c r="Q959" s="6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5"/>
      <c r="O960" s="6"/>
      <c r="Q960" s="6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5"/>
      <c r="O961" s="6"/>
      <c r="Q961" s="6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5"/>
      <c r="O962" s="6"/>
      <c r="Q962" s="6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5"/>
      <c r="O963" s="6"/>
      <c r="Q963" s="6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5"/>
      <c r="O964" s="6"/>
      <c r="Q964" s="6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5"/>
      <c r="O965" s="6"/>
      <c r="Q965" s="6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5"/>
      <c r="O966" s="6"/>
      <c r="Q966" s="6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5"/>
      <c r="O967" s="6"/>
      <c r="Q967" s="6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5"/>
      <c r="O968" s="6"/>
      <c r="Q968" s="6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5"/>
      <c r="O969" s="6"/>
      <c r="Q969" s="6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5"/>
      <c r="O970" s="6"/>
      <c r="Q970" s="6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5"/>
      <c r="O971" s="6"/>
      <c r="Q971" s="6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5"/>
      <c r="O972" s="6"/>
      <c r="Q972" s="6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5"/>
      <c r="O973" s="6"/>
      <c r="Q973" s="6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5"/>
      <c r="O974" s="6"/>
      <c r="Q974" s="6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5"/>
      <c r="O975" s="6"/>
      <c r="Q975" s="6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5"/>
      <c r="O976" s="6"/>
      <c r="Q976" s="6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5"/>
      <c r="O977" s="6"/>
      <c r="Q977" s="6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5"/>
      <c r="O978" s="6"/>
      <c r="Q978" s="6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5"/>
      <c r="O979" s="6"/>
      <c r="Q979" s="6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5"/>
      <c r="O980" s="6"/>
      <c r="Q980" s="6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5"/>
      <c r="O981" s="6"/>
      <c r="Q981" s="6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5"/>
      <c r="O982" s="6"/>
      <c r="Q982" s="6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5"/>
      <c r="O983" s="6"/>
      <c r="Q983" s="6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5"/>
      <c r="O984" s="6"/>
      <c r="Q984" s="6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5"/>
      <c r="O985" s="6"/>
      <c r="Q985" s="6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5"/>
      <c r="O986" s="6"/>
      <c r="Q986" s="6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5"/>
      <c r="O987" s="6"/>
      <c r="Q987" s="6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5"/>
      <c r="O988" s="6"/>
      <c r="Q988" s="6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5"/>
      <c r="O989" s="6"/>
      <c r="Q989" s="6"/>
    </row>
  </sheetData>
  <mergeCells count="300">
    <mergeCell ref="A1:J1"/>
    <mergeCell ref="H8:I8"/>
    <mergeCell ref="H9:I9"/>
    <mergeCell ref="H12:J12"/>
    <mergeCell ref="H18:I18"/>
    <mergeCell ref="H19:I19"/>
    <mergeCell ref="H21:I21"/>
    <mergeCell ref="H23:I23"/>
    <mergeCell ref="H24:I24"/>
    <mergeCell ref="C25:J25"/>
    <mergeCell ref="C26:J26"/>
    <mergeCell ref="C27:J27"/>
    <mergeCell ref="A29:J29"/>
    <mergeCell ref="H40:I40"/>
    <mergeCell ref="F59:I59"/>
    <mergeCell ref="F60:I60"/>
    <mergeCell ref="H61:I61"/>
    <mergeCell ref="C62:J62"/>
    <mergeCell ref="C63:J63"/>
    <mergeCell ref="C64:J64"/>
    <mergeCell ref="A66:J66"/>
    <mergeCell ref="H41:I41"/>
    <mergeCell ref="H44:J44"/>
    <mergeCell ref="H51:I51"/>
    <mergeCell ref="H52:I52"/>
    <mergeCell ref="H54:I54"/>
    <mergeCell ref="H56:I56"/>
    <mergeCell ref="H57:I57"/>
    <mergeCell ref="H95:I95"/>
    <mergeCell ref="F97:I97"/>
    <mergeCell ref="F98:I98"/>
    <mergeCell ref="H99:I99"/>
    <mergeCell ref="C100:J100"/>
    <mergeCell ref="C101:J101"/>
    <mergeCell ref="C102:J102"/>
    <mergeCell ref="A106:J106"/>
    <mergeCell ref="H78:I78"/>
    <mergeCell ref="H79:I79"/>
    <mergeCell ref="H82:J82"/>
    <mergeCell ref="H89:I89"/>
    <mergeCell ref="H90:I90"/>
    <mergeCell ref="H92:I92"/>
    <mergeCell ref="H94:I94"/>
    <mergeCell ref="H129:I129"/>
    <mergeCell ref="F131:I131"/>
    <mergeCell ref="F132:I132"/>
    <mergeCell ref="H133:I133"/>
    <mergeCell ref="C134:J134"/>
    <mergeCell ref="C136:J136"/>
    <mergeCell ref="C137:J137"/>
    <mergeCell ref="A139:J139"/>
    <mergeCell ref="H112:I112"/>
    <mergeCell ref="H113:I113"/>
    <mergeCell ref="H116:J116"/>
    <mergeCell ref="H123:I123"/>
    <mergeCell ref="H124:I124"/>
    <mergeCell ref="H126:I126"/>
    <mergeCell ref="H128:I128"/>
    <mergeCell ref="H158:I158"/>
    <mergeCell ref="F160:I160"/>
    <mergeCell ref="F161:I161"/>
    <mergeCell ref="H162:I162"/>
    <mergeCell ref="C163:J163"/>
    <mergeCell ref="C165:J165"/>
    <mergeCell ref="C166:J166"/>
    <mergeCell ref="A169:J169"/>
    <mergeCell ref="H144:I144"/>
    <mergeCell ref="H145:I145"/>
    <mergeCell ref="H148:J148"/>
    <mergeCell ref="H152:I152"/>
    <mergeCell ref="H153:I153"/>
    <mergeCell ref="H155:I155"/>
    <mergeCell ref="H157:I157"/>
    <mergeCell ref="H194:I194"/>
    <mergeCell ref="F196:I196"/>
    <mergeCell ref="F197:I197"/>
    <mergeCell ref="H198:I198"/>
    <mergeCell ref="C199:J199"/>
    <mergeCell ref="C201:J201"/>
    <mergeCell ref="C202:J202"/>
    <mergeCell ref="A204:J204"/>
    <mergeCell ref="H177:I177"/>
    <mergeCell ref="H178:I178"/>
    <mergeCell ref="H181:J181"/>
    <mergeCell ref="H188:I188"/>
    <mergeCell ref="H189:I189"/>
    <mergeCell ref="H191:I191"/>
    <mergeCell ref="H193:I193"/>
    <mergeCell ref="H226:I226"/>
    <mergeCell ref="F228:I228"/>
    <mergeCell ref="F229:I229"/>
    <mergeCell ref="H230:I230"/>
    <mergeCell ref="C231:J231"/>
    <mergeCell ref="C233:J233"/>
    <mergeCell ref="C234:J234"/>
    <mergeCell ref="A238:J238"/>
    <mergeCell ref="H209:I209"/>
    <mergeCell ref="H210:I210"/>
    <mergeCell ref="H213:J213"/>
    <mergeCell ref="H220:I220"/>
    <mergeCell ref="H221:I221"/>
    <mergeCell ref="H223:I223"/>
    <mergeCell ref="H225:I225"/>
    <mergeCell ref="H263:I263"/>
    <mergeCell ref="F265:I265"/>
    <mergeCell ref="F266:I266"/>
    <mergeCell ref="H267:I267"/>
    <mergeCell ref="C268:J268"/>
    <mergeCell ref="C270:J270"/>
    <mergeCell ref="C271:J271"/>
    <mergeCell ref="A273:J273"/>
    <mergeCell ref="H246:I246"/>
    <mergeCell ref="H247:I247"/>
    <mergeCell ref="H250:J250"/>
    <mergeCell ref="H257:I257"/>
    <mergeCell ref="H258:I258"/>
    <mergeCell ref="H260:I260"/>
    <mergeCell ref="H262:I262"/>
    <mergeCell ref="H301:I301"/>
    <mergeCell ref="F303:I303"/>
    <mergeCell ref="F304:I304"/>
    <mergeCell ref="H305:I305"/>
    <mergeCell ref="C306:J306"/>
    <mergeCell ref="C308:J308"/>
    <mergeCell ref="C309:J309"/>
    <mergeCell ref="A311:J311"/>
    <mergeCell ref="H283:I283"/>
    <mergeCell ref="H284:I284"/>
    <mergeCell ref="H287:J287"/>
    <mergeCell ref="H295:I295"/>
    <mergeCell ref="H296:I296"/>
    <mergeCell ref="H298:I298"/>
    <mergeCell ref="H300:I300"/>
    <mergeCell ref="H336:I336"/>
    <mergeCell ref="F338:I338"/>
    <mergeCell ref="F339:I339"/>
    <mergeCell ref="H340:I340"/>
    <mergeCell ref="C341:J341"/>
    <mergeCell ref="C343:J343"/>
    <mergeCell ref="A346:J346"/>
    <mergeCell ref="H321:I321"/>
    <mergeCell ref="H322:I322"/>
    <mergeCell ref="H325:J325"/>
    <mergeCell ref="H330:I330"/>
    <mergeCell ref="H331:I331"/>
    <mergeCell ref="H333:I333"/>
    <mergeCell ref="H335:I335"/>
    <mergeCell ref="H377:I377"/>
    <mergeCell ref="F379:I379"/>
    <mergeCell ref="F380:I380"/>
    <mergeCell ref="H381:I381"/>
    <mergeCell ref="C382:J382"/>
    <mergeCell ref="C384:J384"/>
    <mergeCell ref="A386:J386"/>
    <mergeCell ref="H359:I359"/>
    <mergeCell ref="H360:I360"/>
    <mergeCell ref="H363:J363"/>
    <mergeCell ref="H371:I371"/>
    <mergeCell ref="H372:I372"/>
    <mergeCell ref="H374:I374"/>
    <mergeCell ref="H376:I376"/>
    <mergeCell ref="H407:I407"/>
    <mergeCell ref="F409:I409"/>
    <mergeCell ref="F410:I410"/>
    <mergeCell ref="H411:I411"/>
    <mergeCell ref="C412:J412"/>
    <mergeCell ref="C414:J414"/>
    <mergeCell ref="A416:J416"/>
    <mergeCell ref="H392:I392"/>
    <mergeCell ref="H393:I393"/>
    <mergeCell ref="H396:J396"/>
    <mergeCell ref="H401:I401"/>
    <mergeCell ref="H402:I402"/>
    <mergeCell ref="H404:I404"/>
    <mergeCell ref="H406:I406"/>
    <mergeCell ref="H447:I447"/>
    <mergeCell ref="F449:I449"/>
    <mergeCell ref="F450:I450"/>
    <mergeCell ref="H451:I451"/>
    <mergeCell ref="C452:J452"/>
    <mergeCell ref="C454:J454"/>
    <mergeCell ref="A456:J456"/>
    <mergeCell ref="H429:I429"/>
    <mergeCell ref="H430:I430"/>
    <mergeCell ref="H433:J433"/>
    <mergeCell ref="H441:I441"/>
    <mergeCell ref="H442:I442"/>
    <mergeCell ref="H444:I444"/>
    <mergeCell ref="H446:I446"/>
    <mergeCell ref="H486:I486"/>
    <mergeCell ref="F488:I488"/>
    <mergeCell ref="F489:I489"/>
    <mergeCell ref="H490:I490"/>
    <mergeCell ref="C491:J491"/>
    <mergeCell ref="C493:J493"/>
    <mergeCell ref="A497:J497"/>
    <mergeCell ref="H468:I468"/>
    <mergeCell ref="H469:I469"/>
    <mergeCell ref="H472:J472"/>
    <mergeCell ref="H480:I480"/>
    <mergeCell ref="H481:I481"/>
    <mergeCell ref="H483:I483"/>
    <mergeCell ref="H485:I485"/>
    <mergeCell ref="H614:I614"/>
    <mergeCell ref="H615:I615"/>
    <mergeCell ref="H618:J618"/>
    <mergeCell ref="H624:I624"/>
    <mergeCell ref="H625:I625"/>
    <mergeCell ref="H627:I627"/>
    <mergeCell ref="H629:I629"/>
    <mergeCell ref="H673:I673"/>
    <mergeCell ref="F675:I675"/>
    <mergeCell ref="F676:I676"/>
    <mergeCell ref="H677:I677"/>
    <mergeCell ref="C678:J678"/>
    <mergeCell ref="C680:J680"/>
    <mergeCell ref="A682:J682"/>
    <mergeCell ref="H655:I655"/>
    <mergeCell ref="H656:I656"/>
    <mergeCell ref="F659:J659"/>
    <mergeCell ref="H667:I667"/>
    <mergeCell ref="H668:I668"/>
    <mergeCell ref="H670:I670"/>
    <mergeCell ref="H672:I672"/>
    <mergeCell ref="H711:I711"/>
    <mergeCell ref="F713:I713"/>
    <mergeCell ref="F714:I714"/>
    <mergeCell ref="H715:I715"/>
    <mergeCell ref="C716:J716"/>
    <mergeCell ref="C718:J718"/>
    <mergeCell ref="A720:J720"/>
    <mergeCell ref="H694:I694"/>
    <mergeCell ref="H695:I695"/>
    <mergeCell ref="F698:J698"/>
    <mergeCell ref="H705:I705"/>
    <mergeCell ref="H706:I706"/>
    <mergeCell ref="H708:I708"/>
    <mergeCell ref="H710:I710"/>
    <mergeCell ref="H749:I749"/>
    <mergeCell ref="F751:I751"/>
    <mergeCell ref="F752:I752"/>
    <mergeCell ref="H753:I753"/>
    <mergeCell ref="C754:J754"/>
    <mergeCell ref="C756:J756"/>
    <mergeCell ref="H732:I732"/>
    <mergeCell ref="H733:I733"/>
    <mergeCell ref="F736:J736"/>
    <mergeCell ref="H743:I743"/>
    <mergeCell ref="H744:I744"/>
    <mergeCell ref="H746:I746"/>
    <mergeCell ref="H748:I748"/>
    <mergeCell ref="H510:I510"/>
    <mergeCell ref="H511:I511"/>
    <mergeCell ref="H514:J514"/>
    <mergeCell ref="H522:I522"/>
    <mergeCell ref="H523:I523"/>
    <mergeCell ref="H525:I525"/>
    <mergeCell ref="H527:I527"/>
    <mergeCell ref="H528:I528"/>
    <mergeCell ref="E530:I530"/>
    <mergeCell ref="E531:I531"/>
    <mergeCell ref="H532:I532"/>
    <mergeCell ref="C533:J533"/>
    <mergeCell ref="C535:J535"/>
    <mergeCell ref="A539:J539"/>
    <mergeCell ref="H559:I559"/>
    <mergeCell ref="F561:I561"/>
    <mergeCell ref="F562:I562"/>
    <mergeCell ref="H563:I563"/>
    <mergeCell ref="C564:J564"/>
    <mergeCell ref="C566:J566"/>
    <mergeCell ref="A567:J567"/>
    <mergeCell ref="H544:I544"/>
    <mergeCell ref="H545:I545"/>
    <mergeCell ref="H548:J548"/>
    <mergeCell ref="H553:I553"/>
    <mergeCell ref="H554:I554"/>
    <mergeCell ref="H556:I556"/>
    <mergeCell ref="H558:I558"/>
    <mergeCell ref="H580:I580"/>
    <mergeCell ref="H581:I581"/>
    <mergeCell ref="F584:J584"/>
    <mergeCell ref="H591:I591"/>
    <mergeCell ref="H592:I592"/>
    <mergeCell ref="H594:I594"/>
    <mergeCell ref="H596:I596"/>
    <mergeCell ref="H597:I597"/>
    <mergeCell ref="F599:I599"/>
    <mergeCell ref="F600:I600"/>
    <mergeCell ref="H601:I601"/>
    <mergeCell ref="C602:J602"/>
    <mergeCell ref="C604:J604"/>
    <mergeCell ref="A607:J607"/>
    <mergeCell ref="H630:I630"/>
    <mergeCell ref="F632:I632"/>
    <mergeCell ref="F633:I633"/>
    <mergeCell ref="H634:I634"/>
    <mergeCell ref="C635:J635"/>
    <mergeCell ref="C637:J637"/>
    <mergeCell ref="A639:J639"/>
  </mergeCells>
  <printOptions horizontalCentered="1"/>
  <pageMargins bottom="0.75" footer="0.0" header="0.0" left="0.25" right="0.25" top="0.75"/>
  <pageSetup fitToWidth="0" paperSize="9" orientation="landscape"/>
  <drawing r:id="rId1"/>
</worksheet>
</file>